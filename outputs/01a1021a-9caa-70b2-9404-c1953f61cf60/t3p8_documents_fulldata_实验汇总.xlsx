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6df1d109b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平均" sheetId="1" r:id="Rc5e72625171349aa"/>
    <x:sheet xmlns:r="http://schemas.openxmlformats.org/officeDocument/2006/relationships" name="按sample_seed平均" sheetId="2" r:id="Re24e0295a6734e13"/>
    <x:sheet xmlns:r="http://schemas.openxmlformats.org/officeDocument/2006/relationships" name="按attack_seed平均" sheetId="3" r:id="R19e1535bdfe34c08"/>
    <x:sheet xmlns:r="http://schemas.openxmlformats.org/officeDocument/2006/relationships" name="九次实验总表" sheetId="4" r:id="R5abc68e1aa16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.0"/>
    <x:numFmt numFmtId="203" formatCode="0.00"/>
  </x:numFmts>
  <x:fonts count="6">
    <x:font>
      <x:sz val="11"/>
      <x:name val="Carlito"/>
    </x:font>
    <x:font>
      <x:sz val="11"/>
      <x:color rgb="FF182B3A"/>
      <x:name val="Arial"/>
    </x:font>
    <x:font>
      <x:b/>
      <x:sz val="16"/>
      <x:color rgb="FF243B53"/>
      <x:name val="Arial"/>
    </x:font>
    <x:font>
      <x:i/>
      <x:sz val="11"/>
      <x:color rgb="FF52667A"/>
      <x:name val="Arial"/>
    </x:font>
    <x:font>
      <x:b/>
      <x:sz val="11"/>
      <x:color rgb="FFFFFFFF"/>
      <x:name val="Arial"/>
    </x:font>
    <x:font>
      <x:sz val="11"/>
      <x:color rgb="FF5266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5">
    <x:border/>
    <x:border>
      <x:bottom style="thin">
        <x:color rgb="FF94A3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05B22"/>
      </x:font>
      <x:fill>
        <x:patternFill patternType="solid">
          <x:bgColor rgb="FFFFF4DF"/>
        </x:patternFill>
      </x:fill>
    </x:dxf>
    <x:dxf>
      <x:font>
        <x:color rgb="FF805B22"/>
      </x:font>
      <x:fill>
        <x:patternFill patternType="solid">
          <x:bgColor rgb="FFFFF4DF"/>
        </x:patternFill>
      </x:fill>
    </x:dxf>
    <x:dxf>
      <x:font>
        <x:color rgb="FF805B22"/>
      </x:font>
      <x:fill>
        <x:patternFill patternType="solid">
          <x:bgColor rgb="FFFFF4DF"/>
        </x:patternFill>
      </x:fill>
    </x:dxf>
    <x:dxf>
      <x:font>
        <x:color rgb="FF805B22"/>
      </x:font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effa1813e4c83" /><Relationship Type="http://schemas.openxmlformats.org/officeDocument/2006/relationships/theme" Target="/xl/theme/theme1.xml" Id="Rfb84a9ca5fe9409d" /><Relationship Type="http://schemas.openxmlformats.org/officeDocument/2006/relationships/sharedStrings" Target="/xl/sharedStrings.xml" Id="R8857d987250d4ae0" /><Relationship Type="http://schemas.openxmlformats.org/officeDocument/2006/relationships/worksheet" Target="/xl/worksheets/sheet1.xml" Id="Rc5e72625171349aa" /><Relationship Type="http://schemas.openxmlformats.org/officeDocument/2006/relationships/worksheet" Target="/xl/worksheets/sheet2.xml" Id="Re24e0295a6734e13" /><Relationship Type="http://schemas.openxmlformats.org/officeDocument/2006/relationships/worksheet" Target="/xl/worksheets/sheet3.xml" Id="R19e1535bdfe34c08" /><Relationship Type="http://schemas.openxmlformats.org/officeDocument/2006/relationships/worksheet" Target="/xl/worksheets/sheet4.xml" Id="R5abc68e1aa164c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</x:cols>
  <x:sheetData>
    <x:row r="1" ht="9" customHeight="1">
      <x:c r="A1" s="2"/>
      <x:c r="B1" s="2"/>
      <x:c r="C1" s="2"/>
      <x:c r="D1" s="2"/>
    </x:row>
    <x:row r="2" ht="30" customHeight="1">
      <x:c r="A2" s="4" t="str">
        <x:v>documents fulldata：总平均</x:v>
      </x:c>
      <x:c r="B2" s="5"/>
      <x:c r="C2" s="5"/>
      <x:c r="D2" s="5"/>
    </x:row>
    <x:row r="3" ht="24" customHeight="1">
      <x:c r="A3" s="6" t="str">
        <x:v>按实验等权平均；计数指标为每次实验的平均数量，非合计。</x:v>
      </x:c>
      <x:c r="B3" s="6"/>
      <x:c r="C3" s="6"/>
      <x:c r="D3" s="6"/>
    </x:row>
    <x:row r="4" ht="24" customHeight="1">
      <x:c r="A4" s="6" t="str">
        <x:v>九组指标已齐全；前五组使用离线补评。按实验等权，成功评估篇数因实验而异。</x:v>
      </x:c>
      <x:c r="B4" s="6"/>
      <x:c r="C4" s="6"/>
      <x:c r="D4" s="6"/>
    </x:row>
    <x:row r="5" ht="24" customHeight="1">
      <x:c r="A5" s="2"/>
      <x:c r="B5" s="2"/>
      <x:c r="C5" s="2"/>
      <x:c r="D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8" t="str">
        <x:v>总平均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COUNT('九次实验总表'!$A$7:$A$15)</x:f>
        <x:v>9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IF(COUNT('九次实验总表'!$C$7:$C$15)=D$7,AVERAGE('九次实验总表'!$C$7:$C$15),"待补评")</x:f>
        <x:v>0.005650871459694989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IF(COUNT('九次实验总表'!$D$7:$D$15)=D$7,AVERAGE('九次实验总表'!$D$7:$D$15),"待补评")</x:f>
        <x:v>0.1731480955152855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IF(COUNT('九次实验总表'!$E$7:$E$15)=D$7,AVERAGE('九次实验总表'!$E$7:$E$15),"待补评")</x:f>
        <x:v>0.18541495606800187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IF(COUNT('九次实验总表'!$F$7:$F$15)=D$7,AVERAGE('九次实验总表'!$F$7:$F$15),"待补评")</x:f>
        <x:v>0.13445715989654328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IF(COUNT('九次实验总表'!$G$7:$G$15)=D$7,AVERAGE('九次实验总表'!$G$7:$G$15),"待补评")</x:f>
        <x:v>0.1669062365672472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IF(COUNT('九次实验总表'!$H$7:$H$15)=D$7,AVERAGE('九次实验总表'!$H$7:$H$15),"待补评")</x:f>
        <x:v>0.24457878640206746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IF(COUNT('九次实验总表'!$I$7:$I$15)=D$7,AVERAGE('九次实验总表'!$I$7:$I$15),"待补评")</x:f>
        <x:v>0.1304647204384041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IF(COUNT('九次实验总表'!$J$7:$J$15)=D$7,AVERAGE('九次实验总表'!$J$7:$J$15),"待补评")</x:f>
        <x:v>0.21312323877886197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IF(COUNT('九次实验总表'!$K$7:$K$15)=D$7,AVERAGE('九次实验总表'!$K$7:$K$15),"待补评")</x:f>
        <x:v>0.2986603137127326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IF(COUNT('九次实验总表'!$L$7:$L$15)=D$7,AVERAGE('九次实验总表'!$L$7:$L$15),"待补评")</x:f>
        <x:v>0.012484398446764581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IF(COUNT('九次实验总表'!$M$7:$M$15)=D$7,AVERAGE('九次实验总表'!$M$7:$M$15),"待补评")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IF(COUNT('九次实验总表'!$N$7:$N$15)=D$7,AVERAGE('九次实验总表'!$N$7:$N$15),"待补评")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IF(COUNT('九次实验总表'!$O$7:$O$15)=D$7,AVERAGE('九次实验总表'!$O$7:$O$15),"待补评")</x:f>
        <x:v>0.3554714385754302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IF(COUNT('九次实验总表'!$P$7:$P$15)=D$7,AVERAGE('九次实验总表'!$P$7:$P$15),"待补评")</x:f>
        <x:v>0.23757625272331154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IF(COUNT('九次实验总表'!$Q$7:$Q$15)=D$7,AVERAGE('九次实验总表'!$Q$7:$Q$15),"待补评")</x:f>
        <x:v>67.33333333333333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IF(COUNT('九次实验总表'!$R$7:$R$15)=D$7,AVERAGE('九次实验总表'!$R$7:$R$15),"待补评")</x:f>
        <x:v>57.888888888888886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IF(COUNT('九次实验总表'!$S$7:$S$15)=D$7,AVERAGE('九次实验总表'!$S$7:$S$15),"待补评")</x:f>
        <x:v>9.444444444444445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IF(COUNT('九次实验总表'!$T$7:$T$15)=D$7,AVERAGE('九次实验总表'!$T$7:$T$15),"待补评")</x:f>
        <x:v>0.3333333333333333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IF(COUNT('九次实验总表'!$U$7:$U$15)=D$7,AVERAGE('九次实验总表'!$U$7:$U$15),"待补评")</x:f>
        <x:v>14.333333333333334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IF(COUNT('九次实验总表'!$V$7:$V$15)=D$7,AVERAGE('九次实验总表'!$V$7:$V$15),"待补评")</x:f>
        <x:v>5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IF(COUNT('九次实验总表'!$W$7:$W$15)=D$7,AVERAGE('九次实验总表'!$W$7:$W$15),"待补评")</x:f>
        <x:v>3.3333333333333335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IF(COUNT('九次实验总表'!$X$7:$X$15)=D$7,AVERAGE('九次实验总表'!$X$7:$X$15),"待补评")</x:f>
        <x:v>1063.7222222222222</x:v>
      </x:c>
    </x:row>
    <x:row r="30" ht="24" customHeight="1">
      <x:c r="A30" s="2"/>
      <x:c r="B30" s="2"/>
      <x:c r="C30" s="2"/>
      <x:c r="D30" s="2"/>
    </x:row>
  </x:sheetData>
  <x:conditionalFormatting sqref="D8:D29">
    <x:cfRule type="containsText" dxfId="1" priority="1" operator="containsText" text="待补评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30" customHeight="1">
      <x:c r="A2" s="4" t="str">
        <x:v>documents fulldata：按 sample_seed 平均</x:v>
      </x:c>
      <x:c r="B2" s="5"/>
      <x:c r="C2" s="5"/>
      <x:c r="D2" s="5"/>
      <x:c r="E2" s="5"/>
      <x:c r="F2" s="5"/>
    </x:row>
    <x:row r="3" ht="24" customHeight="1">
      <x:c r="A3" s="6" t="str">
        <x:v>按实验等权平均；计数指标为每次实验的平均数量，非合计。</x:v>
      </x:c>
      <x:c r="B3" s="6"/>
      <x:c r="C3" s="6"/>
      <x:c r="D3" s="6"/>
      <x:c r="E3" s="6"/>
      <x:c r="F3" s="6"/>
    </x:row>
    <x:row r="4" ht="24" customHeight="1">
      <x:c r="A4" s="6" t="str">
        <x:v>九组指标已齐全；前五组使用离线补评。按实验等权，成功评估篇数因实验而异。</x:v>
      </x:c>
      <x:c r="B4" s="6"/>
      <x:c r="C4" s="6"/>
      <x:c r="D4" s="6"/>
      <x:c r="E4" s="6"/>
      <x:c r="F4" s="6"/>
    </x:row>
    <x:row r="5" ht="24" customHeight="1">
      <x:c r="A5" s="2"/>
      <x:c r="B5" s="2"/>
      <x:c r="C5" s="2"/>
      <x:c r="D5" s="2"/>
      <x:c r="E5" s="2"/>
      <x:c r="F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7" t="str">
        <x:v>sample_seed = 0</x:v>
      </x:c>
      <x:c r="E6" s="17" t="str">
        <x:v>sample_seed = 1</x:v>
      </x:c>
      <x:c r="F6" s="18" t="str">
        <x:v>sample_seed = 2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COUNTIFS('九次实验总表'!$A$7:$A$15,0)</x:f>
        <x:v>3</x:v>
      </x:c>
      <x:c r="E7" s="22" t="n">
        <x:f>COUNTIFS('九次实验总表'!$A$7:$A$15,1)</x:f>
        <x:v>3</x:v>
      </x:c>
      <x:c r="F7" s="22" t="n">
        <x:f>COUNTIFS('九次实验总表'!$A$7:$A$15,2)</x:f>
        <x:v>3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IF(COUNTIFS('九次实验总表'!$A$7:$A$15,0,'九次实验总表'!$C$7:$C$15,"&gt;=0")=D$7,AVERAGEIFS('九次实验总表'!$C$7:$C$15,'九次实验总表'!$A$7:$A$15,0),"待补评")</x:f>
        <x:v>0</x:v>
      </x:c>
      <x:c r="E8" s="21" t="n">
        <x:f>IF(COUNTIFS('九次实验总表'!$A$7:$A$15,1,'九次实验总表'!$C$7:$C$15,"&gt;=0")=E$7,AVERAGEIFS('九次实验总表'!$C$7:$C$15,'九次实验总表'!$A$7:$A$15,1),"待补评")</x:f>
        <x:v>0.010416666666666666</x:v>
      </x:c>
      <x:c r="F8" s="21" t="n">
        <x:f>IF(COUNTIFS('九次实验总表'!$A$7:$A$15,2,'九次实验总表'!$C$7:$C$15,"&gt;=0")=F$7,AVERAGEIFS('九次实验总表'!$C$7:$C$15,'九次实验总表'!$A$7:$A$15,2),"待补评")</x:f>
        <x:v>0.006535947712418301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IF(COUNTIFS('九次实验总表'!$A$7:$A$15,0,'九次实验总表'!$D$7:$D$15,"&gt;=0")=D$7,AVERAGEIFS('九次实验总表'!$D$7:$D$15,'九次实验总表'!$A$7:$A$15,0),"待补评")</x:f>
        <x:v>0.08980358349685376</x:v>
      </x:c>
      <x:c r="E9" s="20" t="n">
        <x:f>IF(COUNTIFS('九次实验总表'!$A$7:$A$15,1,'九次实验总表'!$D$7:$D$15,"&gt;=0")=E$7,AVERAGEIFS('九次实验总表'!$D$7:$D$15,'九次实验总表'!$A$7:$A$15,1),"待补评")</x:f>
        <x:v>0.1955786357675373</x:v>
      </x:c>
      <x:c r="F9" s="20" t="n">
        <x:f>IF(COUNTIFS('九次实验总表'!$A$7:$A$15,2,'九次实验总表'!$D$7:$D$15,"&gt;=0")=F$7,AVERAGEIFS('九次实验总表'!$D$7:$D$15,'九次实验总表'!$A$7:$A$15,2),"待补评")</x:f>
        <x:v>0.23406206728146547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IF(COUNTIFS('九次实验总表'!$A$7:$A$15,0,'九次实验总表'!$E$7:$E$15,"&gt;=0")=D$7,AVERAGEIFS('九次实验总表'!$E$7:$E$15,'九次实验总表'!$A$7:$A$15,0),"待补评")</x:f>
        <x:v>0.10483080065471707</x:v>
      </x:c>
      <x:c r="E10" s="21" t="n">
        <x:f>IF(COUNTIFS('九次实验总表'!$A$7:$A$15,1,'九次实验总表'!$E$7:$E$15,"&gt;=0")=E$7,AVERAGEIFS('九次实验总表'!$E$7:$E$15,'九次实验总表'!$A$7:$A$15,1),"待补评")</x:f>
        <x:v>0.2076760112206095</x:v>
      </x:c>
      <x:c r="F10" s="21" t="n">
        <x:f>IF(COUNTIFS('九次实验总表'!$A$7:$A$15,2,'九次实验总表'!$E$7:$E$15,"&gt;=0")=F$7,AVERAGEIFS('九次实验总表'!$E$7:$E$15,'九次实验总表'!$A$7:$A$15,2),"待补评")</x:f>
        <x:v>0.2437380563286791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IF(COUNTIFS('九次实验总表'!$A$7:$A$15,0,'九次实验总表'!$F$7:$F$15,"&gt;=0")=D$7,AVERAGEIFS('九次实验总表'!$F$7:$F$15,'九次实验总表'!$A$7:$A$15,0),"待补评")</x:f>
        <x:v>0.05946436474654166</x:v>
      </x:c>
      <x:c r="E11" s="20" t="n">
        <x:f>IF(COUNTIFS('九次实验总表'!$A$7:$A$15,1,'九次实验总表'!$F$7:$F$15,"&gt;=0")=E$7,AVERAGEIFS('九次实验总表'!$F$7:$F$15,'九次实验总表'!$A$7:$A$15,1),"待补评")</x:f>
        <x:v>0.16032774905619238</x:v>
      </x:c>
      <x:c r="F11" s="20" t="n">
        <x:f>IF(COUNTIFS('九次实验总表'!$A$7:$A$15,2,'九次实验总表'!$F$7:$F$15,"&gt;=0")=F$7,AVERAGEIFS('九次实验总表'!$F$7:$F$15,'九次实验总表'!$A$7:$A$15,2),"待补评")</x:f>
        <x:v>0.18357936588689586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IF(COUNTIFS('九次实验总表'!$A$7:$A$15,0,'九次实验总表'!$G$7:$G$15,"&gt;=0")=D$7,AVERAGEIFS('九次实验总表'!$G$7:$G$15,'九次实验总表'!$A$7:$A$15,0),"待补评")</x:f>
        <x:v>0.08660144535599486</x:v>
      </x:c>
      <x:c r="E12" s="21" t="n">
        <x:f>IF(COUNTIFS('九次实验总表'!$A$7:$A$15,1,'九次实验总表'!$G$7:$G$15,"&gt;=0")=E$7,AVERAGEIFS('九次实验总表'!$G$7:$G$15,'九次实验总表'!$A$7:$A$15,1),"待补评")</x:f>
        <x:v>0.1864869274814459</x:v>
      </x:c>
      <x:c r="F12" s="21" t="n">
        <x:f>IF(COUNTIFS('九次实验总表'!$A$7:$A$15,2,'九次实验总表'!$G$7:$G$15,"&gt;=0")=F$7,AVERAGEIFS('九次实验总表'!$G$7:$G$15,'九次实验总表'!$A$7:$A$15,2),"待补评")</x:f>
        <x:v>0.22763033686430087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IF(COUNTIFS('九次实验总表'!$A$7:$A$15,0,'九次实验总表'!$H$7:$H$15,"&gt;=0")=D$7,AVERAGEIFS('九次实验总表'!$H$7:$H$15,'九次实验总表'!$A$7:$A$15,0),"待补评")</x:f>
        <x:v>0.1177517930118172</x:v>
      </x:c>
      <x:c r="E13" s="20" t="n">
        <x:f>IF(COUNTIFS('九次实验总表'!$A$7:$A$15,1,'九次实验总表'!$H$7:$H$15,"&gt;=0")=E$7,AVERAGEIFS('九次实验总表'!$H$7:$H$15,'九次实验总表'!$A$7:$A$15,1),"待补评")</x:f>
        <x:v>0.3527130278585267</x:v>
      </x:c>
      <x:c r="F13" s="20" t="n">
        <x:f>IF(COUNTIFS('九次实验总表'!$A$7:$A$15,2,'九次实验总表'!$H$7:$H$15,"&gt;=0")=F$7,AVERAGEIFS('九次实验总表'!$H$7:$H$15,'九次实验总表'!$A$7:$A$15,2),"待补评")</x:f>
        <x:v>0.2632715383358584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IF(COUNTIFS('九次实验总表'!$A$7:$A$15,0,'九次实验总表'!$I$7:$I$15,"&gt;=0")=D$7,AVERAGEIFS('九次实验总表'!$I$7:$I$15,'九次实验总表'!$A$7:$A$15,0),"待补评")</x:f>
        <x:v>0.05750469922883061</x:v>
      </x:c>
      <x:c r="E14" s="21" t="n">
        <x:f>IF(COUNTIFS('九次实验总表'!$A$7:$A$15,1,'九次实验总表'!$I$7:$I$15,"&gt;=0")=E$7,AVERAGEIFS('九次实验总表'!$I$7:$I$15,'九次实验总表'!$A$7:$A$15,1),"待补评")</x:f>
        <x:v>0.1535269162446423</x:v>
      </x:c>
      <x:c r="F14" s="21" t="n">
        <x:f>IF(COUNTIFS('九次实验总表'!$A$7:$A$15,2,'九次实验总表'!$I$7:$I$15,"&gt;=0")=F$7,AVERAGEIFS('九次实验总表'!$I$7:$I$15,'九次实验总表'!$A$7:$A$15,2),"待补评")</x:f>
        <x:v>0.1803625458417394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IF(COUNTIFS('九次实验总表'!$A$7:$A$15,0,'九次实验总表'!$J$7:$J$15,"&gt;=0")=D$7,AVERAGEIFS('九次实验总表'!$J$7:$J$15,'九次实验总表'!$A$7:$A$15,0),"待补评")</x:f>
        <x:v>0.12510047225129306</x:v>
      </x:c>
      <x:c r="E15" s="20" t="n">
        <x:f>IF(COUNTIFS('九次实验总表'!$A$7:$A$15,1,'九次实验总表'!$J$7:$J$15,"&gt;=0")=E$7,AVERAGEIFS('九次实验总表'!$J$7:$J$15,'九次实验总表'!$A$7:$A$15,1),"待补评")</x:f>
        <x:v>0.22625097593272228</x:v>
      </x:c>
      <x:c r="F15" s="20" t="n">
        <x:f>IF(COUNTIFS('九次实验总表'!$A$7:$A$15,2,'九次实验总表'!$J$7:$J$15,"&gt;=0")=F$7,AVERAGEIFS('九次实验总表'!$J$7:$J$15,'九次实验总表'!$A$7:$A$15,2),"待补评")</x:f>
        <x:v>0.28801826815257064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IF(COUNTIFS('九次实验总表'!$A$7:$A$15,0,'九次实验总表'!$K$7:$K$15,"&gt;=0")=D$7,AVERAGEIFS('九次实验总表'!$K$7:$K$15,'九次实验总表'!$A$7:$A$15,0),"待补评")</x:f>
        <x:v>0.1646901528161251</x:v>
      </x:c>
      <x:c r="E16" s="21" t="n">
        <x:f>IF(COUNTIFS('九次实验总表'!$A$7:$A$15,1,'九次实验总表'!$K$7:$K$15,"&gt;=0")=E$7,AVERAGEIFS('九次实验总表'!$K$7:$K$15,'九次实验总表'!$A$7:$A$15,1),"待补评")</x:f>
        <x:v>0.4022169044268957</x:v>
      </x:c>
      <x:c r="F16" s="21" t="n">
        <x:f>IF(COUNTIFS('九次实验总表'!$A$7:$A$15,2,'九次实验总表'!$K$7:$K$15,"&gt;=0")=F$7,AVERAGEIFS('九次实验总表'!$K$7:$K$15,'九次实验总表'!$A$7:$A$15,2),"待补评")</x:f>
        <x:v>0.32907388389517706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IF(COUNTIFS('九次实验总表'!$A$7:$A$15,0,'九次实验总表'!$L$7:$L$15,"&gt;=0")=D$7,AVERAGEIFS('九次实验总表'!$L$7:$L$15,'九次实验总表'!$A$7:$A$15,0),"待补评")</x:f>
        <x:v>0.0016015661925226933</x:v>
      </x:c>
      <x:c r="E17" s="20" t="n">
        <x:f>IF(COUNTIFS('九次实验总表'!$A$7:$A$15,1,'九次实验总表'!$L$7:$L$15,"&gt;=0")=E$7,AVERAGEIFS('九次实验总表'!$L$7:$L$15,'九次实验总表'!$A$7:$A$15,1),"待补评")</x:f>
        <x:v>0.020009050792449117</x:v>
      </x:c>
      <x:c r="F17" s="20" t="n">
        <x:f>IF(COUNTIFS('九次实验总表'!$A$7:$A$15,2,'九次实验总表'!$L$7:$L$15,"&gt;=0")=F$7,AVERAGEIFS('九次实验总表'!$L$7:$L$15,'九次实验总表'!$A$7:$A$15,2),"待补评")</x:f>
        <x:v>0.01584257835532193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IF(COUNTIFS('九次实验总表'!$A$7:$A$15,0,'九次实验总表'!$M$7:$M$15,"&gt;=0")=D$7,AVERAGEIFS('九次实验总表'!$M$7:$M$15,'九次实验总表'!$A$7:$A$15,0),"待补评")</x:f>
        <x:v>0</x:v>
      </x:c>
      <x:c r="E18" s="21" t="n">
        <x:f>IF(COUNTIFS('九次实验总表'!$A$7:$A$15,1,'九次实验总表'!$M$7:$M$15,"&gt;=0")=E$7,AVERAGEIFS('九次实验总表'!$M$7:$M$15,'九次实验总表'!$A$7:$A$15,1),"待补评")</x:f>
        <x:v>0</x:v>
      </x:c>
      <x:c r="F18" s="21" t="n">
        <x:f>IF(COUNTIFS('九次实验总表'!$A$7:$A$15,2,'九次实验总表'!$M$7:$M$15,"&gt;=0")=F$7,AVERAGEIFS('九次实验总表'!$M$7:$M$15,'九次实验总表'!$A$7:$A$15,2),"待补评")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IF(COUNTIFS('九次实验总表'!$A$7:$A$15,0,'九次实验总表'!$N$7:$N$15,"&gt;=0")=D$7,AVERAGEIFS('九次实验总表'!$N$7:$N$15,'九次实验总表'!$A$7:$A$15,0),"待补评")</x:f>
        <x:v>0</x:v>
      </x:c>
      <x:c r="E19" s="20" t="n">
        <x:f>IF(COUNTIFS('九次实验总表'!$A$7:$A$15,1,'九次实验总表'!$N$7:$N$15,"&gt;=0")=E$7,AVERAGEIFS('九次实验总表'!$N$7:$N$15,'九次实验总表'!$A$7:$A$15,1),"待补评")</x:f>
        <x:v>0</x:v>
      </x:c>
      <x:c r="F19" s="20" t="n">
        <x:f>IF(COUNTIFS('九次实验总表'!$A$7:$A$15,2,'九次实验总表'!$N$7:$N$15,"&gt;=0")=F$7,AVERAGEIFS('九次实验总表'!$N$7:$N$15,'九次实验总表'!$A$7:$A$15,2),"待补评")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IF(COUNTIFS('九次实验总表'!$A$7:$A$15,0,'九次实验总表'!$O$7:$O$15,"&gt;=0")=D$7,AVERAGEIFS('九次实验总表'!$O$7:$O$15,'九次实验总表'!$A$7:$A$15,0),"待补评")</x:f>
        <x:v>0.4739583333333333</x:v>
      </x:c>
      <x:c r="E20" s="21" t="n">
        <x:f>IF(COUNTIFS('九次实验总表'!$A$7:$A$15,1,'九次实验总表'!$O$7:$O$15,"&gt;=0")=E$7,AVERAGEIFS('九次实验总表'!$O$7:$O$15,'九次实验总表'!$A$7:$A$15,1),"待补评")</x:f>
        <x:v>0.3925653594771242</x:v>
      </x:c>
      <x:c r="F20" s="21" t="n">
        <x:f>IF(COUNTIFS('九次实验总表'!$A$7:$A$15,2,'九次实验总表'!$O$7:$O$15,"&gt;=0")=F$7,AVERAGEIFS('九次实验总表'!$O$7:$O$15,'九次实验总表'!$A$7:$A$15,2),"待补评")</x:f>
        <x:v>0.199890622915833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IF(COUNTIFS('九次实验总表'!$A$7:$A$15,0,'九次实验总表'!$P$7:$P$15,"&gt;=0")=D$7,AVERAGEIFS('九次实验总表'!$P$7:$P$15,'九次实验总表'!$A$7:$A$15,0),"待补评")</x:f>
        <x:v>0.4114583333333333</x:v>
      </x:c>
      <x:c r="E21" s="20" t="n">
        <x:f>IF(COUNTIFS('九次实验总表'!$A$7:$A$15,1,'九次实验总表'!$P$7:$P$15,"&gt;=0")=E$7,AVERAGEIFS('九次实验总表'!$P$7:$P$15,'九次实验总表'!$A$7:$A$15,1),"待补评")</x:f>
        <x:v>0.174734477124183</x:v>
      </x:c>
      <x:c r="F21" s="20" t="n">
        <x:f>IF(COUNTIFS('九次实验总表'!$A$7:$A$15,2,'九次实验总表'!$P$7:$P$15,"&gt;=0")=F$7,AVERAGEIFS('九次实验总表'!$P$7:$P$15,'九次实验总表'!$A$7:$A$15,2),"待补评")</x:f>
        <x:v>0.1265359477124183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IF(COUNTIFS('九次实验总表'!$A$7:$A$15,0,'九次实验总表'!$Q$7:$Q$15,"&gt;=0")=D$7,AVERAGEIFS('九次实验总表'!$Q$7:$Q$15,'九次实验总表'!$A$7:$A$15,0),"待补评")</x:f>
        <x:v>70</x:v>
      </x:c>
      <x:c r="E22" s="30" t="n">
        <x:f>IF(COUNTIFS('九次实验总表'!$A$7:$A$15,1,'九次实验总表'!$Q$7:$Q$15,"&gt;=0")=E$7,AVERAGEIFS('九次实验总表'!$Q$7:$Q$15,'九次实验总表'!$A$7:$A$15,1),"待补评")</x:f>
        <x:v>68</x:v>
      </x:c>
      <x:c r="F22" s="30" t="n">
        <x:f>IF(COUNTIFS('九次实验总表'!$A$7:$A$15,2,'九次实验总表'!$Q$7:$Q$15,"&gt;=0")=F$7,AVERAGEIFS('九次实验总表'!$Q$7:$Q$15,'九次实验总表'!$A$7:$A$15,2),"待补评")</x:f>
        <x:v>64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IF(COUNTIFS('九次实验总表'!$A$7:$A$15,0,'九次实验总表'!$R$7:$R$15,"&gt;=0")=D$7,AVERAGEIFS('九次实验总表'!$R$7:$R$15,'九次实验总表'!$A$7:$A$15,0),"待补评")</x:f>
        <x:v>64</x:v>
      </x:c>
      <x:c r="E23" s="31" t="n">
        <x:f>IF(COUNTIFS('九次实验总表'!$A$7:$A$15,1,'九次实验总表'!$R$7:$R$15,"&gt;=0")=E$7,AVERAGEIFS('九次实验总表'!$R$7:$R$15,'九次实验总表'!$A$7:$A$15,1),"待补评")</x:f>
        <x:v>59.666666666666664</x:v>
      </x:c>
      <x:c r="F23" s="31" t="n">
        <x:f>IF(COUNTIFS('九次实验总表'!$A$7:$A$15,2,'九次实验总表'!$R$7:$R$15,"&gt;=0")=F$7,AVERAGEIFS('九次实验总表'!$R$7:$R$15,'九次实验总表'!$A$7:$A$15,2),"待补评")</x:f>
        <x:v>50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IF(COUNTIFS('九次实验总表'!$A$7:$A$15,0,'九次实验总表'!$S$7:$S$15,"&gt;=0")=D$7,AVERAGEIFS('九次实验总表'!$S$7:$S$15,'九次实验总表'!$A$7:$A$15,0),"待补评")</x:f>
        <x:v>6</x:v>
      </x:c>
      <x:c r="E24" s="30" t="n">
        <x:f>IF(COUNTIFS('九次实验总表'!$A$7:$A$15,1,'九次实验总表'!$S$7:$S$15,"&gt;=0")=E$7,AVERAGEIFS('九次实验总表'!$S$7:$S$15,'九次实验总表'!$A$7:$A$15,1),"待补评")</x:f>
        <x:v>8.333333333333334</x:v>
      </x:c>
      <x:c r="F24" s="30" t="n">
        <x:f>IF(COUNTIFS('九次实验总表'!$A$7:$A$15,2,'九次实验总表'!$S$7:$S$15,"&gt;=0")=F$7,AVERAGEIFS('九次实验总表'!$S$7:$S$15,'九次实验总表'!$A$7:$A$15,2),"待补评")</x:f>
        <x:v>14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IF(COUNTIFS('九次实验总表'!$A$7:$A$15,0,'九次实验总表'!$T$7:$T$15,"&gt;=0")=D$7,AVERAGEIFS('九次实验总表'!$T$7:$T$15,'九次实验总表'!$A$7:$A$15,0),"待补评")</x:f>
        <x:v>0</x:v>
      </x:c>
      <x:c r="E25" s="31" t="n">
        <x:f>IF(COUNTIFS('九次实验总表'!$A$7:$A$15,1,'九次实验总表'!$T$7:$T$15,"&gt;=0")=E$7,AVERAGEIFS('九次实验总表'!$T$7:$T$15,'九次实验总表'!$A$7:$A$15,1),"待补评")</x:f>
        <x:v>0.6666666666666666</x:v>
      </x:c>
      <x:c r="F25" s="31" t="n">
        <x:f>IF(COUNTIFS('九次实验总表'!$A$7:$A$15,2,'九次实验总表'!$T$7:$T$15,"&gt;=0")=F$7,AVERAGEIFS('九次实验总表'!$T$7:$T$15,'九次实验总表'!$A$7:$A$15,2),"待补评")</x:f>
        <x:v>0.3333333333333333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IF(COUNTIFS('九次实验总表'!$A$7:$A$15,0,'九次实验总表'!$U$7:$U$15,"&gt;=0")=D$7,AVERAGEIFS('九次实验总表'!$U$7:$U$15,'九次实验总表'!$A$7:$A$15,0),"待补评")</x:f>
        <x:v>26.333333333333332</x:v>
      </x:c>
      <x:c r="E26" s="30" t="n">
        <x:f>IF(COUNTIFS('九次实验总表'!$A$7:$A$15,1,'九次实验总表'!$U$7:$U$15,"&gt;=0")=E$7,AVERAGEIFS('九次实验总表'!$U$7:$U$15,'九次实验总表'!$A$7:$A$15,1),"待补评")</x:f>
        <x:v>10.333333333333334</x:v>
      </x:c>
      <x:c r="F26" s="30" t="n">
        <x:f>IF(COUNTIFS('九次实验总表'!$A$7:$A$15,2,'九次实验总表'!$U$7:$U$15,"&gt;=0")=F$7,AVERAGEIFS('九次实验总表'!$U$7:$U$15,'九次实验总表'!$A$7:$A$15,2),"待补评")</x:f>
        <x:v>6.333333333333333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IF(COUNTIFS('九次实验总表'!$A$7:$A$15,0,'九次实验总表'!$V$7:$V$15,"&gt;=0")=D$7,AVERAGEIFS('九次实验总表'!$V$7:$V$15,'九次实验总表'!$A$7:$A$15,0),"待补评")</x:f>
        <x:v>1.3333333333333333</x:v>
      </x:c>
      <x:c r="E27" s="31" t="n">
        <x:f>IF(COUNTIFS('九次实验总表'!$A$7:$A$15,1,'九次实验总表'!$V$7:$V$15,"&gt;=0")=E$7,AVERAGEIFS('九次实验总表'!$V$7:$V$15,'九次实验总表'!$A$7:$A$15,1),"待补评")</x:f>
        <x:v>7.666666666666667</x:v>
      </x:c>
      <x:c r="F27" s="31" t="n">
        <x:f>IF(COUNTIFS('九次实验总表'!$A$7:$A$15,2,'九次实验总表'!$V$7:$V$15,"&gt;=0")=F$7,AVERAGEIFS('九次实验总表'!$V$7:$V$15,'九次实验总表'!$A$7:$A$15,2),"待补评")</x:f>
        <x:v>6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IF(COUNTIFS('九次实验总表'!$A$7:$A$15,0,'九次实验总表'!$W$7:$W$15,"&gt;=0")=D$7,AVERAGEIFS('九次实验总表'!$W$7:$W$15,'九次实验总表'!$A$7:$A$15,0),"待补评")</x:f>
        <x:v>1</x:v>
      </x:c>
      <x:c r="E28" s="30" t="n">
        <x:f>IF(COUNTIFS('九次实验总表'!$A$7:$A$15,1,'九次实验总表'!$W$7:$W$15,"&gt;=0")=E$7,AVERAGEIFS('九次实验总表'!$W$7:$W$15,'九次实验总表'!$A$7:$A$15,1),"待补评")</x:f>
        <x:v>5.333333333333333</x:v>
      </x:c>
      <x:c r="F28" s="30" t="n">
        <x:f>IF(COUNTIFS('九次实验总表'!$A$7:$A$15,2,'九次实验总表'!$W$7:$W$15,"&gt;=0")=F$7,AVERAGEIFS('九次实验总表'!$W$7:$W$15,'九次实验总表'!$A$7:$A$15,2),"待补评")</x:f>
        <x:v>3.6666666666666665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IF(COUNTIFS('九次实验总表'!$A$7:$A$15,0,'九次实验总表'!$X$7:$X$15,"&gt;=0")=D$7,AVERAGEIFS('九次实验总表'!$X$7:$X$15,'九次实验总表'!$A$7:$A$15,0),"待补评")</x:f>
        <x:v>529.1666666666666</x:v>
      </x:c>
      <x:c r="E29" s="31" t="n">
        <x:f>IF(COUNTIFS('九次实验总表'!$A$7:$A$15,1,'九次实验总表'!$X$7:$X$15,"&gt;=0")=E$7,AVERAGEIFS('九次实验总表'!$X$7:$X$15,'九次实验总表'!$A$7:$A$15,1),"待补评")</x:f>
        <x:v>1191.1666666666667</x:v>
      </x:c>
      <x:c r="F29" s="31" t="n">
        <x:f>IF(COUNTIFS('九次实验总表'!$A$7:$A$15,2,'九次实验总表'!$X$7:$X$15,"&gt;=0")=F$7,AVERAGEIFS('九次实验总表'!$X$7:$X$15,'九次实验总表'!$A$7:$A$15,2),"待补评")</x:f>
        <x:v>1470.8333333333333</x:v>
      </x:c>
    </x:row>
    <x:row r="30" ht="24" customHeight="1">
      <x:c r="A30" s="2"/>
      <x:c r="B30" s="2"/>
      <x:c r="C30" s="2"/>
      <x:c r="D30" s="2"/>
      <x:c r="E30" s="2"/>
      <x:c r="F30" s="2"/>
    </x:row>
  </x:sheetData>
  <x:conditionalFormatting sqref="D8:F29">
    <x:cfRule type="containsText" dxfId="2" priority="1" operator="containsText" text="待补评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9" hidden="0" customWidth="1"/>
    <x:col min="2" max="2" width="37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30" customHeight="1">
      <x:c r="A2" s="4" t="str">
        <x:v>documents fulldata：按 attack_seed 平均</x:v>
      </x:c>
      <x:c r="B2" s="5"/>
      <x:c r="C2" s="5"/>
      <x:c r="D2" s="5"/>
      <x:c r="E2" s="5"/>
      <x:c r="F2" s="5"/>
    </x:row>
    <x:row r="3" ht="24" customHeight="1">
      <x:c r="A3" s="6" t="str">
        <x:v>按实验等权平均；计数指标为每次实验的平均数量，非合计。</x:v>
      </x:c>
      <x:c r="B3" s="6"/>
      <x:c r="C3" s="6"/>
      <x:c r="D3" s="6"/>
      <x:c r="E3" s="6"/>
      <x:c r="F3" s="6"/>
    </x:row>
    <x:row r="4" ht="24" customHeight="1">
      <x:c r="A4" s="6" t="str">
        <x:v>九组指标已齐全；前五组使用离线补评。按实验等权，成功评估篇数因实验而异。</x:v>
      </x:c>
      <x:c r="B4" s="6"/>
      <x:c r="C4" s="6"/>
      <x:c r="D4" s="6"/>
      <x:c r="E4" s="6"/>
      <x:c r="F4" s="6"/>
    </x:row>
    <x:row r="5" ht="24" customHeight="1">
      <x:c r="A5" s="2"/>
      <x:c r="B5" s="2"/>
      <x:c r="C5" s="2"/>
      <x:c r="D5" s="2"/>
      <x:c r="E5" s="2"/>
      <x:c r="F5" s="2"/>
    </x:row>
    <x:row r="6" ht="40" customHeight="1">
      <x:c r="A6" s="16" t="str">
        <x:v>指标</x:v>
      </x:c>
      <x:c r="B6" s="17" t="str">
        <x:v>原始字段</x:v>
      </x:c>
      <x:c r="C6" s="17" t="str">
        <x:v>单位</x:v>
      </x:c>
      <x:c r="D6" s="17" t="str">
        <x:v>attack_seed = 1</x:v>
      </x:c>
      <x:c r="E6" s="17" t="str">
        <x:v>attack_seed = 2</x:v>
      </x:c>
      <x:c r="F6" s="18" t="str">
        <x:v>attack_seed = 3</x:v>
      </x:c>
    </x:row>
    <x:row r="7" ht="24" customHeight="1">
      <x:c r="A7" s="2" t="str">
        <x:v>实验次数</x:v>
      </x:c>
      <x:c r="B7" s="2" t="str">
        <x:v>run_count</x:v>
      </x:c>
      <x:c r="C7" s="2" t="str">
        <x:v>次</x:v>
      </x:c>
      <x:c r="D7" s="22" t="n">
        <x:f>COUNTIFS('九次实验总表'!$B$7:$B$15,1)</x:f>
        <x:v>3</x:v>
      </x:c>
      <x:c r="E7" s="22" t="n">
        <x:f>COUNTIFS('九次实验总表'!$B$7:$B$15,2)</x:f>
        <x:v>3</x:v>
      </x:c>
      <x:c r="F7" s="22" t="n">
        <x:f>COUNTIFS('九次实验总表'!$B$7:$B$15,3)</x:f>
        <x:v>3</x:v>
      </x:c>
    </x:row>
    <x:row r="8" ht="24" customHeight="1">
      <x:c r="A8" s="29" t="str">
        <x:v>完整原文前缀泄漏率</x:v>
      </x:c>
      <x:c r="B8" s="29" t="str">
        <x:v>full_skill_leak_rate</x:v>
      </x:c>
      <x:c r="C8" s="29" t="str">
        <x:v>比例</x:v>
      </x:c>
      <x:c r="D8" s="21" t="n">
        <x:f>IF(COUNTIFS('九次实验总表'!$B$7:$B$15,1,'九次实验总表'!$C$7:$C$15,"&gt;=0")=D$7,AVERAGEIFS('九次实验总表'!$C$7:$C$15,'九次实验总表'!$B$7:$B$15,1),"待补评")</x:f>
        <x:v>0.005208333333333333</x:v>
      </x:c>
      <x:c r="E8" s="21" t="n">
        <x:f>IF(COUNTIFS('九次实验总表'!$B$7:$B$15,2,'九次实验总表'!$C$7:$C$15,"&gt;=0")=E$7,AVERAGEIFS('九次实验总表'!$C$7:$C$15,'九次实验总表'!$B$7:$B$15,2),"待补评")</x:f>
        <x:v>0.011744281045751634</x:v>
      </x:c>
      <x:c r="F8" s="21" t="n">
        <x:f>IF(COUNTIFS('九次实验总表'!$B$7:$B$15,3,'九次实验总表'!$C$7:$C$15,"&gt;=0")=F$7,AVERAGEIFS('九次实验总表'!$C$7:$C$15,'九次实验总表'!$B$7:$B$15,3),"待补评")</x:f>
        <x:v>0</x:v>
      </x:c>
    </x:row>
    <x:row r="9" ht="24" customHeight="1">
      <x:c r="A9" s="2" t="str">
        <x:v>正文 ROUGE-L recall</x:v>
      </x:c>
      <x:c r="B9" s="2" t="str">
        <x:v>mean_body_rougeL_recall</x:v>
      </x:c>
      <x:c r="C9" s="2" t="str">
        <x:v>比例</x:v>
      </x:c>
      <x:c r="D9" s="20" t="n">
        <x:f>IF(COUNTIFS('九次实验总表'!$B$7:$B$15,1,'九次实验总表'!$D$7:$D$15,"&gt;=0")=D$7,AVERAGEIFS('九次实验总表'!$D$7:$D$15,'九次实验总表'!$B$7:$B$15,1),"待补评")</x:f>
        <x:v>0.18771424421322794</x:v>
      </x:c>
      <x:c r="E9" s="20" t="n">
        <x:f>IF(COUNTIFS('九次实验总表'!$B$7:$B$15,2,'九次实验总表'!$D$7:$D$15,"&gt;=0")=E$7,AVERAGEIFS('九次实验总表'!$D$7:$D$15,'九次实验总表'!$B$7:$B$15,2),"待补评")</x:f>
        <x:v>0.20526367135088056</x:v>
      </x:c>
      <x:c r="F9" s="20" t="n">
        <x:f>IF(COUNTIFS('九次实验总表'!$B$7:$B$15,3,'九次实验总表'!$D$7:$D$15,"&gt;=0")=F$7,AVERAGEIFS('九次实验总表'!$D$7:$D$15,'九次实验总表'!$B$7:$B$15,3),"待补评")</x:f>
        <x:v>0.12646637098174804</x:v>
      </x:c>
    </x:row>
    <x:row r="10" ht="24" customHeight="1">
      <x:c r="A10" s="29" t="str">
        <x:v>正文 ROUGE-L precision</x:v>
      </x:c>
      <x:c r="B10" s="29" t="str">
        <x:v>mean_body_rougeL_precision</x:v>
      </x:c>
      <x:c r="C10" s="29" t="str">
        <x:v>比例</x:v>
      </x:c>
      <x:c r="D10" s="21" t="n">
        <x:f>IF(COUNTIFS('九次实验总表'!$B$7:$B$15,1,'九次实验总表'!$E$7:$E$15,"&gt;=0")=D$7,AVERAGEIFS('九次实验总表'!$E$7:$E$15,'九次实验总表'!$B$7:$B$15,1),"待补评")</x:f>
        <x:v>0.2039141864768587</x:v>
      </x:c>
      <x:c r="E10" s="21" t="n">
        <x:f>IF(COUNTIFS('九次实验总表'!$B$7:$B$15,2,'九次实验总表'!$E$7:$E$15,"&gt;=0")=E$7,AVERAGEIFS('九次实验总表'!$E$7:$E$15,'九次实验总表'!$B$7:$B$15,2),"待补评")</x:f>
        <x:v>0.2220771913511627</x:v>
      </x:c>
      <x:c r="F10" s="21" t="n">
        <x:f>IF(COUNTIFS('九次实验总表'!$B$7:$B$15,3,'九次实验总表'!$E$7:$E$15,"&gt;=0")=F$7,AVERAGEIFS('九次实验总表'!$E$7:$E$15,'九次实验总表'!$B$7:$B$15,3),"待补评")</x:f>
        <x:v>0.13025349037598424</x:v>
      </x:c>
    </x:row>
    <x:row r="11" ht="24" customHeight="1">
      <x:c r="A11" s="2" t="str">
        <x:v>正文 ROUGE-2 recall</x:v>
      </x:c>
      <x:c r="B11" s="2" t="str">
        <x:v>mean_body_rouge2_recall</x:v>
      </x:c>
      <x:c r="C11" s="2" t="str">
        <x:v>比例</x:v>
      </x:c>
      <x:c r="D11" s="20" t="n">
        <x:f>IF(COUNTIFS('九次实验总表'!$B$7:$B$15,1,'九次实验总表'!$F$7:$F$15,"&gt;=0")=D$7,AVERAGEIFS('九次实验总表'!$F$7:$F$15,'九次实验总表'!$B$7:$B$15,1),"待补评")</x:f>
        <x:v>0.15186504378747254</x:v>
      </x:c>
      <x:c r="E11" s="20" t="n">
        <x:f>IF(COUNTIFS('九次实验总表'!$B$7:$B$15,2,'九次实验总表'!$F$7:$F$15,"&gt;=0")=E$7,AVERAGEIFS('九次实验总表'!$F$7:$F$15,'九次实验总表'!$B$7:$B$15,2),"待补评")</x:f>
        <x:v>0.1599466835205661</x:v>
      </x:c>
      <x:c r="F11" s="20" t="n">
        <x:f>IF(COUNTIFS('九次实验总表'!$B$7:$B$15,3,'九次实验总表'!$F$7:$F$15,"&gt;=0")=F$7,AVERAGEIFS('九次实验总表'!$F$7:$F$15,'九次实验总表'!$B$7:$B$15,3),"待补评")</x:f>
        <x:v>0.0915597523815913</x:v>
      </x:c>
    </x:row>
    <x:row r="12" ht="24" customHeight="1">
      <x:c r="A12" s="29" t="str">
        <x:v>全文 ROUGE-L recall</x:v>
      </x:c>
      <x:c r="B12" s="29" t="str">
        <x:v>mean_rougeL_recall</x:v>
      </x:c>
      <x:c r="C12" s="29" t="str">
        <x:v>比例</x:v>
      </x:c>
      <x:c r="D12" s="21" t="n">
        <x:f>IF(COUNTIFS('九次实验总表'!$B$7:$B$15,1,'九次实验总表'!$G$7:$G$15,"&gt;=0")=D$7,AVERAGEIFS('九次实验总表'!$G$7:$G$15,'九次实验总表'!$B$7:$B$15,1),"待补评")</x:f>
        <x:v>0.1752651402083718</x:v>
      </x:c>
      <x:c r="E12" s="21" t="n">
        <x:f>IF(COUNTIFS('九次实验总表'!$B$7:$B$15,2,'九次实验总表'!$G$7:$G$15,"&gt;=0")=E$7,AVERAGEIFS('九次实验总表'!$G$7:$G$15,'九次实验总表'!$B$7:$B$15,2),"待补评")</x:f>
        <x:v>0.20483520783178788</x:v>
      </x:c>
      <x:c r="F12" s="21" t="n">
        <x:f>IF(COUNTIFS('九次实验总表'!$B$7:$B$15,3,'九次实验总表'!$G$7:$G$15,"&gt;=0")=F$7,AVERAGEIFS('九次实验总表'!$G$7:$G$15,'九次实验总表'!$B$7:$B$15,3),"待补评")</x:f>
        <x:v>0.12061836166158198</x:v>
      </x:c>
    </x:row>
    <x:row r="13" ht="24" customHeight="1">
      <x:c r="A13" s="2" t="str">
        <x:v>全文 ROUGE-L precision</x:v>
      </x:c>
      <x:c r="B13" s="2" t="str">
        <x:v>mean_rougeL_precision</x:v>
      </x:c>
      <x:c r="C13" s="2" t="str">
        <x:v>比例</x:v>
      </x:c>
      <x:c r="D13" s="20" t="n">
        <x:f>IF(COUNTIFS('九次实验总表'!$B$7:$B$15,1,'九次实验总表'!$H$7:$H$15,"&gt;=0")=D$7,AVERAGEIFS('九次实验总表'!$H$7:$H$15,'九次实验总表'!$B$7:$B$15,1),"待补评")</x:f>
        <x:v>0.2347222631250918</x:v>
      </x:c>
      <x:c r="E13" s="20" t="n">
        <x:f>IF(COUNTIFS('九次实验总表'!$B$7:$B$15,2,'九次实验总表'!$H$7:$H$15,"&gt;=0")=E$7,AVERAGEIFS('九次实验总表'!$H$7:$H$15,'九次实验总表'!$B$7:$B$15,2),"待补评")</x:f>
        <x:v>0.277698760309029</x:v>
      </x:c>
      <x:c r="F13" s="20" t="n">
        <x:f>IF(COUNTIFS('九次实验总表'!$B$7:$B$15,3,'九次实验总表'!$H$7:$H$15,"&gt;=0")=F$7,AVERAGEIFS('九次实验总表'!$H$7:$H$15,'九次实验总表'!$B$7:$B$15,3),"待补评")</x:f>
        <x:v>0.2213153357720815</x:v>
      </x:c>
    </x:row>
    <x:row r="14" ht="24" customHeight="1">
      <x:c r="A14" s="29" t="str">
        <x:v>全文 ROUGE-2 recall</x:v>
      </x:c>
      <x:c r="B14" s="29" t="str">
        <x:v>mean_rouge2_recall</x:v>
      </x:c>
      <x:c r="C14" s="29" t="str">
        <x:v>比例</x:v>
      </x:c>
      <x:c r="D14" s="21" t="n">
        <x:f>IF(COUNTIFS('九次实验总表'!$B$7:$B$15,1,'九次实验总表'!$I$7:$I$15,"&gt;=0")=D$7,AVERAGEIFS('九次实验总表'!$I$7:$I$15,'九次实验总表'!$B$7:$B$15,1),"待补评")</x:f>
        <x:v>0.14201317207427325</x:v>
      </x:c>
      <x:c r="E14" s="21" t="n">
        <x:f>IF(COUNTIFS('九次实验总表'!$B$7:$B$15,2,'九次实验总表'!$I$7:$I$15,"&gt;=0")=E$7,AVERAGEIFS('九次实验总表'!$I$7:$I$15,'九次实验总表'!$B$7:$B$15,2),"待补评")</x:f>
        <x:v>0.1615826349718245</x:v>
      </x:c>
      <x:c r="F14" s="21" t="n">
        <x:f>IF(COUNTIFS('九次实验总表'!$B$7:$B$15,3,'九次实验总表'!$I$7:$I$15,"&gt;=0")=F$7,AVERAGEIFS('九次实验总表'!$I$7:$I$15,'九次实验总表'!$B$7:$B$15,3),"待补评")</x:f>
        <x:v>0.08779835426911457</x:v>
      </x:c>
    </x:row>
    <x:row r="15" ht="24" customHeight="1">
      <x:c r="A15" s="2" t="str">
        <x:v>Token recall</x:v>
      </x:c>
      <x:c r="B15" s="2" t="str">
        <x:v>mean_token_recall</x:v>
      </x:c>
      <x:c r="C15" s="2" t="str">
        <x:v>比例</x:v>
      </x:c>
      <x:c r="D15" s="20" t="n">
        <x:f>IF(COUNTIFS('九次实验总表'!$B$7:$B$15,1,'九次实验总表'!$J$7:$J$15,"&gt;=0")=D$7,AVERAGEIFS('九次实验总表'!$J$7:$J$15,'九次实验总表'!$B$7:$B$15,1),"待补评")</x:f>
        <x:v>0.22493325913920445</x:v>
      </x:c>
      <x:c r="E15" s="20" t="n">
        <x:f>IF(COUNTIFS('九次实验总表'!$B$7:$B$15,2,'九次实验总表'!$J$7:$J$15,"&gt;=0")=E$7,AVERAGEIFS('九次实验总表'!$J$7:$J$15,'九次实验总表'!$B$7:$B$15,2),"待补评")</x:f>
        <x:v>0.2574979410270248</x:v>
      </x:c>
      <x:c r="F15" s="20" t="n">
        <x:f>IF(COUNTIFS('九次实验总表'!$B$7:$B$15,3,'九次实验总表'!$J$7:$J$15,"&gt;=0")=F$7,AVERAGEIFS('九次实验总表'!$J$7:$J$15,'九次实验总表'!$B$7:$B$15,3),"待补评")</x:f>
        <x:v>0.15693851617035684</x:v>
      </x:c>
    </x:row>
    <x:row r="16" ht="24" customHeight="1">
      <x:c r="A16" s="29" t="str">
        <x:v>Token precision</x:v>
      </x:c>
      <x:c r="B16" s="29" t="str">
        <x:v>mean_token_precision</x:v>
      </x:c>
      <x:c r="C16" s="29" t="str">
        <x:v>比例</x:v>
      </x:c>
      <x:c r="D16" s="21" t="n">
        <x:f>IF(COUNTIFS('九次实验总表'!$B$7:$B$15,1,'九次实验总表'!$K$7:$K$15,"&gt;=0")=D$7,AVERAGEIFS('九次实验总表'!$K$7:$K$15,'九次实验总表'!$B$7:$B$15,1),"待补评")</x:f>
        <x:v>0.29298313005697557</x:v>
      </x:c>
      <x:c r="E16" s="21" t="n">
        <x:f>IF(COUNTIFS('九次实验总表'!$B$7:$B$15,2,'九次实验总表'!$K$7:$K$15,"&gt;=0")=E$7,AVERAGEIFS('九次实验总表'!$K$7:$K$15,'九次实验总表'!$B$7:$B$15,2),"待补评")</x:f>
        <x:v>0.3390619341310246</x:v>
      </x:c>
      <x:c r="F16" s="21" t="n">
        <x:f>IF(COUNTIFS('九次实验总表'!$B$7:$B$15,3,'九次实验总表'!$K$7:$K$15,"&gt;=0")=F$7,AVERAGEIFS('九次实验总表'!$K$7:$K$15,'九次实验总表'!$B$7:$B$15,3),"待补评")</x:f>
        <x:v>0.26393587695019777</x:v>
      </x:c>
    </x:row>
    <x:row r="17" ht="24" customHeight="1">
      <x:c r="A17" s="2" t="str">
        <x:v>公共前缀比例</x:v>
      </x:c>
      <x:c r="B17" s="2" t="str">
        <x:v>mean_common_prefix_ratio</x:v>
      </x:c>
      <x:c r="C17" s="2" t="str">
        <x:v>比例</x:v>
      </x:c>
      <x:c r="D17" s="20" t="n">
        <x:f>IF(COUNTIFS('九次实验总表'!$B$7:$B$15,1,'九次实验总表'!$L$7:$L$15,"&gt;=0")=D$7,AVERAGEIFS('九次实验总表'!$L$7:$L$15,'九次实验总表'!$B$7:$B$15,1),"待补评")</x:f>
        <x:v>0.005394653595498223</x:v>
      </x:c>
      <x:c r="E17" s="20" t="n">
        <x:f>IF(COUNTIFS('九次实验总表'!$B$7:$B$15,2,'九次实验总表'!$L$7:$L$15,"&gt;=0")=E$7,AVERAGEIFS('九次实验总表'!$L$7:$L$15,'九次实验总表'!$B$7:$B$15,2),"待补评")</x:f>
        <x:v>0.02906773525230913</x:v>
      </x:c>
      <x:c r="F17" s="20" t="n">
        <x:f>IF(COUNTIFS('九次实验总表'!$B$7:$B$15,3,'九次实验总表'!$L$7:$L$15,"&gt;=0")=F$7,AVERAGEIFS('九次实验总表'!$L$7:$L$15,'九次实验总表'!$B$7:$B$15,3),"待补评")</x:f>
        <x:v>0.0029908064924863867</x:v>
      </x:c>
    </x:row>
    <x:row r="18" ht="24" customHeight="1">
      <x:c r="A18" s="29" t="str">
        <x:v>Markdown 精确匹配率</x:v>
      </x:c>
      <x:c r="B18" s="29" t="str">
        <x:v>exact_markdown_match_rate</x:v>
      </x:c>
      <x:c r="C18" s="29" t="str">
        <x:v>比例</x:v>
      </x:c>
      <x:c r="D18" s="21" t="n">
        <x:f>IF(COUNTIFS('九次实验总表'!$B$7:$B$15,1,'九次实验总表'!$M$7:$M$15,"&gt;=0")=D$7,AVERAGEIFS('九次实验总表'!$M$7:$M$15,'九次实验总表'!$B$7:$B$15,1),"待补评")</x:f>
        <x:v>0</x:v>
      </x:c>
      <x:c r="E18" s="21" t="n">
        <x:f>IF(COUNTIFS('九次实验总表'!$B$7:$B$15,2,'九次实验总表'!$M$7:$M$15,"&gt;=0")=E$7,AVERAGEIFS('九次实验总表'!$M$7:$M$15,'九次实验总表'!$B$7:$B$15,2),"待补评")</x:f>
        <x:v>0</x:v>
      </x:c>
      <x:c r="F18" s="21" t="n">
        <x:f>IF(COUNTIFS('九次实验总表'!$B$7:$B$15,3,'九次实验总表'!$M$7:$M$15,"&gt;=0")=F$7,AVERAGEIFS('九次实验总表'!$M$7:$M$15,'九次实验总表'!$B$7:$B$15,3),"待补评")</x:f>
        <x:v>0</x:v>
      </x:c>
    </x:row>
    <x:row r="19" ht="24" customHeight="1">
      <x:c r="A19" s="2" t="str">
        <x:v>Token 精确匹配率</x:v>
      </x:c>
      <x:c r="B19" s="2" t="str">
        <x:v>exact_token_match_rate</x:v>
      </x:c>
      <x:c r="C19" s="2" t="str">
        <x:v>比例</x:v>
      </x:c>
      <x:c r="D19" s="20" t="n">
        <x:f>IF(COUNTIFS('九次实验总表'!$B$7:$B$15,1,'九次实验总表'!$N$7:$N$15,"&gt;=0")=D$7,AVERAGEIFS('九次实验总表'!$N$7:$N$15,'九次实验总表'!$B$7:$B$15,1),"待补评")</x:f>
        <x:v>0</x:v>
      </x:c>
      <x:c r="E19" s="20" t="n">
        <x:f>IF(COUNTIFS('九次实验总表'!$B$7:$B$15,2,'九次实验总表'!$N$7:$N$15,"&gt;=0")=E$7,AVERAGEIFS('九次实验总表'!$N$7:$N$15,'九次实验总表'!$B$7:$B$15,2),"待补评")</x:f>
        <x:v>0</x:v>
      </x:c>
      <x:c r="F19" s="20" t="n">
        <x:f>IF(COUNTIFS('九次实验总表'!$B$7:$B$15,3,'九次实验总表'!$N$7:$N$15,"&gt;=0")=F$7,AVERAGEIFS('九次实验总表'!$N$7:$N$15,'九次实验总表'!$B$7:$B$15,3),"待补评")</x:f>
        <x:v>0</x:v>
      </x:c>
    </x:row>
    <x:row r="20" ht="24" customHeight="1">
      <x:c r="A20" s="29" t="str">
        <x:v>EOS 比例</x:v>
      </x:c>
      <x:c r="B20" s="29" t="str">
        <x:v>eos_rate</x:v>
      </x:c>
      <x:c r="C20" s="29" t="str">
        <x:v>比例</x:v>
      </x:c>
      <x:c r="D20" s="21" t="n">
        <x:f>IF(COUNTIFS('九次实验总表'!$B$7:$B$15,1,'九次实验总表'!$O$7:$O$15,"&gt;=0")=D$7,AVERAGEIFS('九次实验总表'!$O$7:$O$15,'九次实验总表'!$B$7:$B$15,1),"待补评")</x:f>
        <x:v>0.34491921768707484</x:v>
      </x:c>
      <x:c r="E20" s="21" t="n">
        <x:f>IF(COUNTIFS('九次实验总表'!$B$7:$B$15,2,'九次实验总表'!$O$7:$O$15,"&gt;=0")=E$7,AVERAGEIFS('九次实验总表'!$O$7:$O$15,'九次实验总表'!$B$7:$B$15,2),"待补评")</x:f>
        <x:v>0.24622140522875816</x:v>
      </x:c>
      <x:c r="F20" s="21" t="n">
        <x:f>IF(COUNTIFS('九次实验总表'!$B$7:$B$15,3,'九次实验总表'!$O$7:$O$15,"&gt;=0")=F$7,AVERAGEIFS('九次实验总表'!$O$7:$O$15,'九次实验总表'!$B$7:$B$15,3),"待补评")</x:f>
        <x:v>0.4752736928104575</x:v>
      </x:c>
    </x:row>
    <x:row r="21" ht="24" customHeight="1">
      <x:c r="A21" s="2" t="str">
        <x:v>空内容输出率</x:v>
      </x:c>
      <x:c r="B21" s="2" t="str">
        <x:v>empty_content_rate</x:v>
      </x:c>
      <x:c r="C21" s="2" t="str">
        <x:v>比例</x:v>
      </x:c>
      <x:c r="D21" s="20" t="n">
        <x:f>IF(COUNTIFS('九次实验总表'!$B$7:$B$15,1,'九次实验总表'!$P$7:$P$15,"&gt;=0")=D$7,AVERAGEIFS('九次实验总表'!$P$7:$P$15,'九次实验总表'!$B$7:$B$15,1),"待补评")</x:f>
        <x:v>0.24479166666666666</x:v>
      </x:c>
      <x:c r="E21" s="20" t="n">
        <x:f>IF(COUNTIFS('九次实验总表'!$B$7:$B$15,2,'九次实验总表'!$P$7:$P$15,"&gt;=0")=E$7,AVERAGEIFS('九次实验总表'!$P$7:$P$15,'九次实验总表'!$B$7:$B$15,2),"待补评")</x:f>
        <x:v>0.12632761437908496</x:v>
      </x:c>
      <x:c r="F21" s="20" t="n">
        <x:f>IF(COUNTIFS('九次实验总表'!$B$7:$B$15,3,'九次实验总表'!$P$7:$P$15,"&gt;=0")=F$7,AVERAGEIFS('九次实验总表'!$P$7:$P$15,'九次实验总表'!$B$7:$B$15,3),"待补评")</x:f>
        <x:v>0.34160947712418305</x:v>
      </x:c>
    </x:row>
    <x:row r="22" ht="24" customHeight="1">
      <x:c r="A22" s="29" t="str">
        <x:v>测试样本数</x:v>
      </x:c>
      <x:c r="B22" s="29" t="str">
        <x:v>total_samples</x:v>
      </x:c>
      <x:c r="C22" s="29" t="str">
        <x:v>篇/实验</x:v>
      </x:c>
      <x:c r="D22" s="30" t="n">
        <x:f>IF(COUNTIFS('九次实验总表'!$B$7:$B$15,1,'九次实验总表'!$Q$7:$Q$15,"&gt;=0")=D$7,AVERAGEIFS('九次实验总表'!$Q$7:$Q$15,'九次实验总表'!$B$7:$B$15,1),"待补评")</x:f>
        <x:v>68</x:v>
      </x:c>
      <x:c r="E22" s="30" t="n">
        <x:f>IF(COUNTIFS('九次实验总表'!$B$7:$B$15,2,'九次实验总表'!$Q$7:$Q$15,"&gt;=0")=E$7,AVERAGEIFS('九次实验总表'!$Q$7:$Q$15,'九次实验总表'!$B$7:$B$15,2),"待补评")</x:f>
        <x:v>68</x:v>
      </x:c>
      <x:c r="F22" s="30" t="n">
        <x:f>IF(COUNTIFS('九次实验总表'!$B$7:$B$15,3,'九次实验总表'!$Q$7:$Q$15,"&gt;=0")=F$7,AVERAGEIFS('九次实验总表'!$Q$7:$Q$15,'九次实验总表'!$B$7:$B$15,3),"待补评")</x:f>
        <x:v>66</x:v>
      </x:c>
    </x:row>
    <x:row r="23" ht="24" customHeight="1">
      <x:c r="A23" s="2" t="str">
        <x:v>有效评估样本数</x:v>
      </x:c>
      <x:c r="B23" s="2" t="str">
        <x:v>evaluated_samples</x:v>
      </x:c>
      <x:c r="C23" s="2" t="str">
        <x:v>篇/实验</x:v>
      </x:c>
      <x:c r="D23" s="31" t="n">
        <x:f>IF(COUNTIFS('九次实验总表'!$B$7:$B$15,1,'九次实验总表'!$R$7:$R$15,"&gt;=0")=D$7,AVERAGEIFS('九次实验总表'!$R$7:$R$15,'九次实验总表'!$B$7:$B$15,1),"待补评")</x:f>
        <x:v>59</x:v>
      </x:c>
      <x:c r="E23" s="31" t="n">
        <x:f>IF(COUNTIFS('九次实验总表'!$B$7:$B$15,2,'九次实验总表'!$R$7:$R$15,"&gt;=0")=E$7,AVERAGEIFS('九次实验总表'!$R$7:$R$15,'九次实验总表'!$B$7:$B$15,2),"待补评")</x:f>
        <x:v>59.666666666666664</x:v>
      </x:c>
      <x:c r="F23" s="31" t="n">
        <x:f>IF(COUNTIFS('九次实验总表'!$B$7:$B$15,3,'九次实验总表'!$R$7:$R$15,"&gt;=0")=F$7,AVERAGEIFS('九次实验总表'!$R$7:$R$15,'九次实验总表'!$B$7:$B$15,3),"待补评")</x:f>
        <x:v>55</x:v>
      </x:c>
    </x:row>
    <x:row r="24" ht="24" customHeight="1">
      <x:c r="A24" s="29" t="str">
        <x:v>生成失败样本数</x:v>
      </x:c>
      <x:c r="B24" s="29" t="str">
        <x:v>failed_samples</x:v>
      </x:c>
      <x:c r="C24" s="29" t="str">
        <x:v>篇/实验</x:v>
      </x:c>
      <x:c r="D24" s="30" t="n">
        <x:f>IF(COUNTIFS('九次实验总表'!$B$7:$B$15,1,'九次实验总表'!$S$7:$S$15,"&gt;=0")=D$7,AVERAGEIFS('九次实验总表'!$S$7:$S$15,'九次实验总表'!$B$7:$B$15,1),"待补评")</x:f>
        <x:v>9</x:v>
      </x:c>
      <x:c r="E24" s="30" t="n">
        <x:f>IF(COUNTIFS('九次实验总表'!$B$7:$B$15,2,'九次实验总表'!$S$7:$S$15,"&gt;=0")=E$7,AVERAGEIFS('九次实验总表'!$S$7:$S$15,'九次实验总表'!$B$7:$B$15,2),"待补评")</x:f>
        <x:v>8.333333333333334</x:v>
      </x:c>
      <x:c r="F24" s="30" t="n">
        <x:f>IF(COUNTIFS('九次实验总表'!$B$7:$B$15,3,'九次实验总表'!$S$7:$S$15,"&gt;=0")=F$7,AVERAGEIFS('九次实验总表'!$S$7:$S$15,'九次实验总表'!$B$7:$B$15,3),"待补评")</x:f>
        <x:v>11</x:v>
      </x:c>
    </x:row>
    <x:row r="25" ht="24" customHeight="1">
      <x:c r="A25" s="2" t="str">
        <x:v>完整原文前缀泄漏数</x:v>
      </x:c>
      <x:c r="B25" s="2" t="str">
        <x:v>full_skill_leak_count</x:v>
      </x:c>
      <x:c r="C25" s="2" t="str">
        <x:v>篇/实验</x:v>
      </x:c>
      <x:c r="D25" s="31" t="n">
        <x:f>IF(COUNTIFS('九次实验总表'!$B$7:$B$15,1,'九次实验总表'!$T$7:$T$15,"&gt;=0")=D$7,AVERAGEIFS('九次实验总表'!$T$7:$T$15,'九次实验总表'!$B$7:$B$15,1),"待补评")</x:f>
        <x:v>0.3333333333333333</x:v>
      </x:c>
      <x:c r="E25" s="31" t="n">
        <x:f>IF(COUNTIFS('九次实验总表'!$B$7:$B$15,2,'九次实验总表'!$T$7:$T$15,"&gt;=0")=E$7,AVERAGEIFS('九次实验总表'!$T$7:$T$15,'九次实验总表'!$B$7:$B$15,2),"待补评")</x:f>
        <x:v>0.6666666666666666</x:v>
      </x:c>
      <x:c r="F25" s="31" t="n">
        <x:f>IF(COUNTIFS('九次实验总表'!$B$7:$B$15,3,'九次实验总表'!$T$7:$T$15,"&gt;=0")=F$7,AVERAGEIFS('九次实验总表'!$T$7:$T$15,'九次实验总表'!$B$7:$B$15,3),"待补评")</x:f>
        <x:v>0</x:v>
      </x:c>
    </x:row>
    <x:row r="26" ht="24" customHeight="1">
      <x:c r="A26" s="29" t="str">
        <x:v>空内容输出数</x:v>
      </x:c>
      <x:c r="B26" s="29" t="str">
        <x:v>empty_content_count</x:v>
      </x:c>
      <x:c r="C26" s="29" t="str">
        <x:v>篇/实验</x:v>
      </x:c>
      <x:c r="D26" s="30" t="n">
        <x:f>IF(COUNTIFS('九次实验总表'!$B$7:$B$15,1,'九次实验总表'!$U$7:$U$15,"&gt;=0")=D$7,AVERAGEIFS('九次实验总表'!$U$7:$U$15,'九次实验总表'!$B$7:$B$15,1),"待补评")</x:f>
        <x:v>15.666666666666666</x:v>
      </x:c>
      <x:c r="E26" s="30" t="n">
        <x:f>IF(COUNTIFS('九次实验总表'!$B$7:$B$15,2,'九次实验总表'!$U$7:$U$15,"&gt;=0")=E$7,AVERAGEIFS('九次实验总表'!$U$7:$U$15,'九次实验总表'!$B$7:$B$15,2),"待补评")</x:f>
        <x:v>8</x:v>
      </x:c>
      <x:c r="F26" s="30" t="n">
        <x:f>IF(COUNTIFS('九次实验总表'!$B$7:$B$15,3,'九次实验总表'!$U$7:$U$15,"&gt;=0")=F$7,AVERAGEIFS('九次实验总表'!$U$7:$U$15,'九次实验总表'!$B$7:$B$15,3),"待补评")</x:f>
        <x:v>19.333333333333332</x:v>
      </x:c>
    </x:row>
    <x:row r="27" ht="24" customHeight="1">
      <x:c r="A27" s="2" t="str">
        <x:v>正文 RL recall ≥ 0.5 数</x:v>
      </x:c>
      <x:c r="B27" s="2" t="str">
        <x:v>body_rougeL_ge_0_5_count</x:v>
      </x:c>
      <x:c r="C27" s="2" t="str">
        <x:v>篇/实验</x:v>
      </x:c>
      <x:c r="D27" s="31" t="n">
        <x:f>IF(COUNTIFS('九次实验总表'!$B$7:$B$15,1,'九次实验总表'!$V$7:$V$15,"&gt;=0")=D$7,AVERAGEIFS('九次实验总表'!$V$7:$V$15,'九次实验总表'!$B$7:$B$15,1),"待补评")</x:f>
        <x:v>6</x:v>
      </x:c>
      <x:c r="E27" s="31" t="n">
        <x:f>IF(COUNTIFS('九次实验总表'!$B$7:$B$15,2,'九次实验总表'!$V$7:$V$15,"&gt;=0")=E$7,AVERAGEIFS('九次实验总表'!$V$7:$V$15,'九次实验总表'!$B$7:$B$15,2),"待补评")</x:f>
        <x:v>6.333333333333333</x:v>
      </x:c>
      <x:c r="F27" s="31" t="n">
        <x:f>IF(COUNTIFS('九次实验总表'!$B$7:$B$15,3,'九次实验总表'!$V$7:$V$15,"&gt;=0")=F$7,AVERAGEIFS('九次实验总表'!$V$7:$V$15,'九次实验总表'!$B$7:$B$15,3),"待补评")</x:f>
        <x:v>2.6666666666666665</x:v>
      </x:c>
    </x:row>
    <x:row r="28" ht="24" customHeight="1">
      <x:c r="A28" s="29" t="str">
        <x:v>正文 RL recall ≥ 0.9 数</x:v>
      </x:c>
      <x:c r="B28" s="29" t="str">
        <x:v>body_rougeL_ge_0_9_count</x:v>
      </x:c>
      <x:c r="C28" s="29" t="str">
        <x:v>篇/实验</x:v>
      </x:c>
      <x:c r="D28" s="30" t="n">
        <x:f>IF(COUNTIFS('九次实验总表'!$B$7:$B$15,1,'九次实验总表'!$W$7:$W$15,"&gt;=0")=D$7,AVERAGEIFS('九次实验总表'!$W$7:$W$15,'九次实验总表'!$B$7:$B$15,1),"待补评")</x:f>
        <x:v>4</x:v>
      </x:c>
      <x:c r="E28" s="30" t="n">
        <x:f>IF(COUNTIFS('九次实验总表'!$B$7:$B$15,2,'九次实验总表'!$W$7:$W$15,"&gt;=0")=E$7,AVERAGEIFS('九次实验总表'!$W$7:$W$15,'九次实验总表'!$B$7:$B$15,2),"待补评")</x:f>
        <x:v>3.6666666666666665</x:v>
      </x:c>
      <x:c r="F28" s="30" t="n">
        <x:f>IF(COUNTIFS('九次实验总表'!$B$7:$B$15,3,'九次实验总表'!$W$7:$W$15,"&gt;=0")=F$7,AVERAGEIFS('九次实验总表'!$W$7:$W$15,'九次实验总表'!$B$7:$B$15,3),"待补评")</x:f>
        <x:v>2.3333333333333335</x:v>
      </x:c>
    </x:row>
    <x:row r="29" ht="24" customHeight="1">
      <x:c r="A29" s="2" t="str">
        <x:v>输出 token 数中位数</x:v>
      </x:c>
      <x:c r="B29" s="2" t="str">
        <x:v>median_prediction_tokens</x:v>
      </x:c>
      <x:c r="C29" s="2" t="str">
        <x:v>token/实验</x:v>
      </x:c>
      <x:c r="D29" s="31" t="n">
        <x:f>IF(COUNTIFS('九次实验总表'!$B$7:$B$15,1,'九次实验总表'!$X$7:$X$15,"&gt;=0")=D$7,AVERAGEIFS('九次实验总表'!$X$7:$X$15,'九次实验总表'!$B$7:$B$15,1),"待补评")</x:f>
        <x:v>1176.5</x:v>
      </x:c>
      <x:c r="E29" s="31" t="n">
        <x:f>IF(COUNTIFS('九次实验总表'!$B$7:$B$15,2,'九次实验总表'!$X$7:$X$15,"&gt;=0")=E$7,AVERAGEIFS('九次实验总表'!$X$7:$X$15,'九次实验总表'!$B$7:$B$15,2),"待补评")</x:f>
        <x:v>1606.1666666666667</x:v>
      </x:c>
      <x:c r="F29" s="31" t="n">
        <x:f>IF(COUNTIFS('九次实验总表'!$B$7:$B$15,3,'九次实验总表'!$X$7:$X$15,"&gt;=0")=F$7,AVERAGEIFS('九次实验总表'!$X$7:$X$15,'九次实验总表'!$B$7:$B$15,3),"待补评")</x:f>
        <x:v>408.5</x:v>
      </x:c>
    </x:row>
    <x:row r="30" ht="24" customHeight="1">
      <x:c r="A30" s="2"/>
      <x:c r="B30" s="2"/>
      <x:c r="C30" s="2"/>
      <x:c r="D30" s="2"/>
      <x:c r="E30" s="2"/>
      <x:c r="F30" s="2"/>
    </x:row>
  </x:sheetData>
  <x:conditionalFormatting sqref="D8:F29">
    <x:cfRule type="containsText" dxfId="3" priority="1" operator="containsText" text="待补评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29AB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0" customHeight="1">
      <x:c r="A2" s="4" t="str">
        <x:v>documents fulldata：九次实验总表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train_num=3；prefix_length=8；trigger_length=12；shadow/target=llama；dtype=bfloat16；gradient checkpointing=true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 ht="24" customHeight="1">
      <x:c r="A4" s="6" t="str">
        <x:v>前五组 ROUGE 已离线补评；每次评估 49–64 篇成功，失败样本不参与原指标均值。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54" customHeight="1">
      <x:c r="A6" s="16" t="str">
        <x:v>sample_seed</x:v>
      </x:c>
      <x:c r="B6" s="17" t="str">
        <x:v>attack_seed</x:v>
      </x:c>
      <x:c r="C6" s="17" t="str">
        <x:v>完整原文前缀泄漏率</x:v>
      </x:c>
      <x:c r="D6" s="17" t="str">
        <x:v>正文 ROUGE-L recall</x:v>
      </x:c>
      <x:c r="E6" s="17" t="str">
        <x:v>正文 ROUGE-L precision</x:v>
      </x:c>
      <x:c r="F6" s="17" t="str">
        <x:v>正文 ROUGE-2 recall</x:v>
      </x:c>
      <x:c r="G6" s="17" t="str">
        <x:v>全文 ROUGE-L recall</x:v>
      </x:c>
      <x:c r="H6" s="17" t="str">
        <x:v>全文 ROUGE-L precision</x:v>
      </x:c>
      <x:c r="I6" s="17" t="str">
        <x:v>全文 ROUGE-2 recall</x:v>
      </x:c>
      <x:c r="J6" s="17" t="str">
        <x:v>Token recall</x:v>
      </x:c>
      <x:c r="K6" s="17" t="str">
        <x:v>Token precision</x:v>
      </x:c>
      <x:c r="L6" s="17" t="str">
        <x:v>公共前缀比例</x:v>
      </x:c>
      <x:c r="M6" s="17" t="str">
        <x:v>Markdown 精确匹配率</x:v>
      </x:c>
      <x:c r="N6" s="17" t="str">
        <x:v>Token 精确匹配率</x:v>
      </x:c>
      <x:c r="O6" s="17" t="str">
        <x:v>EOS 比例</x:v>
      </x:c>
      <x:c r="P6" s="17" t="str">
        <x:v>空内容输出率</x:v>
      </x:c>
      <x:c r="Q6" s="17" t="str">
        <x:v>测试样本数</x:v>
      </x:c>
      <x:c r="R6" s="17" t="str">
        <x:v>有效评估样本数</x:v>
      </x:c>
      <x:c r="S6" s="17" t="str">
        <x:v>生成失败样本数</x:v>
      </x:c>
      <x:c r="T6" s="17" t="str">
        <x:v>完整原文前缀泄漏数</x:v>
      </x:c>
      <x:c r="U6" s="17" t="str">
        <x:v>空内容输出数</x:v>
      </x:c>
      <x:c r="V6" s="17" t="str">
        <x:v>正文 RL recall ≥ 0.5 数</x:v>
      </x:c>
      <x:c r="W6" s="17" t="str">
        <x:v>正文 RL recall ≥ 0.9 数</x:v>
      </x:c>
      <x:c r="X6" s="18" t="str">
        <x:v>输出 token 数中位数</x:v>
      </x:c>
    </x:row>
    <x:row r="7" ht="24" customHeight="1">
      <x:c r="A7" s="7" t="n">
        <x:v>0</x:v>
      </x:c>
      <x:c r="B7" s="7" t="n">
        <x:v>1</x:v>
      </x:c>
      <x:c r="C7" s="20" t="n">
        <x:v>0</x:v>
      </x:c>
      <x:c r="D7" s="20" t="n">
        <x:v>0.07188140524253678</x:v>
      </x:c>
      <x:c r="E7" s="20" t="n">
        <x:v>0.09260970036208421</x:v>
      </x:c>
      <x:c r="F7" s="20" t="n">
        <x:v>0.04385765380507578</x:v>
      </x:c>
      <x:c r="G7" s="20" t="n">
        <x:v>0.0682922057840772</x:v>
      </x:c>
      <x:c r="H7" s="20" t="n">
        <x:v>0.09564492873505377</x:v>
      </x:c>
      <x:c r="I7" s="20" t="n">
        <x:v>0.04167746102320465</x:v>
      </x:c>
      <x:c r="J7" s="20" t="n">
        <x:v>0.10733634997148757</x:v>
      </x:c>
      <x:c r="K7" s="20" t="n">
        <x:v>0.14521970370781578</x:v>
      </x:c>
      <x:c r="L7" s="20" t="n">
        <x:v>0.00005069121816042146</x:v>
      </x:c>
      <x:c r="M7" s="20" t="n">
        <x:v>0</x:v>
      </x:c>
      <x:c r="N7" s="20" t="n">
        <x:v>0</x:v>
      </x:c>
      <x:c r="O7" s="20" t="n">
        <x:v>0.5</x:v>
      </x:c>
      <x:c r="P7" s="20" t="n">
        <x:f>IF(ISNUMBER(U7),U7/R7,"待补评")</x:f>
        <x:v>0.421875</x:v>
      </x:c>
      <x:c r="Q7" s="22" t="n">
        <x:v>70</x:v>
      </x:c>
      <x:c r="R7" s="22" t="n">
        <x:v>64</x:v>
      </x:c>
      <x:c r="S7" s="22" t="n">
        <x:v>6</x:v>
      </x:c>
      <x:c r="T7" s="22" t="n">
        <x:v>0</x:v>
      </x:c>
      <x:c r="U7" s="22" t="n">
        <x:v>27</x:v>
      </x:c>
      <x:c r="V7" s="22" t="n">
        <x:v>0</x:v>
      </x:c>
      <x:c r="W7" s="22" t="n">
        <x:v>0</x:v>
      </x:c>
      <x:c r="X7" s="24" t="n">
        <x:v>452.5</x:v>
      </x:c>
    </x:row>
    <x:row r="8" ht="24" customHeight="1">
      <x:c r="A8" s="19" t="n">
        <x:v>0</x:v>
      </x:c>
      <x:c r="B8" s="19" t="n">
        <x:v>2</x:v>
      </x:c>
      <x:c r="C8" s="21" t="n">
        <x:v>0</x:v>
      </x:c>
      <x:c r="D8" s="21" t="n">
        <x:v>0.08535236763563454</x:v>
      </x:c>
      <x:c r="E8" s="21" t="n">
        <x:v>0.11019214161826998</x:v>
      </x:c>
      <x:c r="F8" s="21" t="n">
        <x:v>0.050587196274679495</x:v>
      </x:c>
      <x:c r="G8" s="21" t="n">
        <x:v>0.08479288160914436</x:v>
      </x:c>
      <x:c r="H8" s="21" t="n">
        <x:v>0.11138436259366918</x:v>
      </x:c>
      <x:c r="I8" s="21" t="n">
        <x:v>0.050338145562862896</x:v>
      </x:c>
      <x:c r="J8" s="21" t="n">
        <x:v>0.1275449250469607</x:v>
      </x:c>
      <x:c r="K8" s="21" t="n">
        <x:v>0.16526054234685567</x:v>
      </x:c>
      <x:c r="L8" s="21" t="n">
        <x:v>0.00007885123680214068</x:v>
      </x:c>
      <x:c r="M8" s="21" t="n">
        <x:v>0</x:v>
      </x:c>
      <x:c r="N8" s="21" t="n">
        <x:v>0</x:v>
      </x:c>
      <x:c r="O8" s="21" t="n">
        <x:v>0.40625</x:v>
      </x:c>
      <x:c r="P8" s="21" t="n">
        <x:f>IF(ISNUMBER(U8),U8/R8,"待补评")</x:f>
        <x:v>0.34375</x:v>
      </x:c>
      <x:c r="Q8" s="23" t="n">
        <x:v>70</x:v>
      </x:c>
      <x:c r="R8" s="23" t="n">
        <x:v>64</x:v>
      </x:c>
      <x:c r="S8" s="23" t="n">
        <x:v>6</x:v>
      </x:c>
      <x:c r="T8" s="23" t="n">
        <x:v>0</x:v>
      </x:c>
      <x:c r="U8" s="23" t="n">
        <x:v>22</x:v>
      </x:c>
      <x:c r="V8" s="23" t="n">
        <x:v>1</x:v>
      </x:c>
      <x:c r="W8" s="23" t="n">
        <x:v>0</x:v>
      </x:c>
      <x:c r="X8" s="25" t="n">
        <x:v>1113</x:v>
      </x:c>
    </x:row>
    <x:row r="9" ht="24" customHeight="1">
      <x:c r="A9" s="7" t="n">
        <x:v>0</x:v>
      </x:c>
      <x:c r="B9" s="7" t="n">
        <x:v>3</x:v>
      </x:c>
      <x:c r="C9" s="20" t="n">
        <x:v>0</x:v>
      </x:c>
      <x:c r="D9" s="20" t="n">
        <x:v>0.11217697761238997</x:v>
      </x:c>
      <x:c r="E9" s="20" t="n">
        <x:v>0.11169055998379705</x:v>
      </x:c>
      <x:c r="F9" s="20" t="n">
        <x:v>0.0839482441598697</x:v>
      </x:c>
      <x:c r="G9" s="20" t="n">
        <x:v>0.10671924867476303</x:v>
      </x:c>
      <x:c r="H9" s="20" t="n">
        <x:v>0.14622608770672862</x:v>
      </x:c>
      <x:c r="I9" s="20" t="n">
        <x:v>0.08049849110042426</x:v>
      </x:c>
      <x:c r="J9" s="20" t="n">
        <x:v>0.14042014173543094</x:v>
      </x:c>
      <x:c r="K9" s="20" t="n">
        <x:v>0.18359021239370382</x:v>
      </x:c>
      <x:c r="L9" s="20" t="n">
        <x:v>0.0046751561226055175</x:v>
      </x:c>
      <x:c r="M9" s="20" t="n">
        <x:v>0</x:v>
      </x:c>
      <x:c r="N9" s="20" t="n">
        <x:v>0</x:v>
      </x:c>
      <x:c r="O9" s="20" t="n">
        <x:v>0.515625</x:v>
      </x:c>
      <x:c r="P9" s="20" t="n">
        <x:f>IF(ISNUMBER(U9),U9/R9,"待补评")</x:f>
        <x:v>0.46875</x:v>
      </x:c>
      <x:c r="Q9" s="22" t="n">
        <x:v>70</x:v>
      </x:c>
      <x:c r="R9" s="22" t="n">
        <x:v>64</x:v>
      </x:c>
      <x:c r="S9" s="22" t="n">
        <x:v>6</x:v>
      </x:c>
      <x:c r="T9" s="22" t="n">
        <x:v>0</x:v>
      </x:c>
      <x:c r="U9" s="22" t="n">
        <x:v>30</x:v>
      </x:c>
      <x:c r="V9" s="22" t="n">
        <x:v>3</x:v>
      </x:c>
      <x:c r="W9" s="22" t="n">
        <x:v>3</x:v>
      </x:c>
      <x:c r="X9" s="24" t="n">
        <x:v>22</x:v>
      </x:c>
    </x:row>
    <x:row r="10" ht="24" customHeight="1">
      <x:c r="A10" s="19" t="n">
        <x:v>1</x:v>
      </x:c>
      <x:c r="B10" s="19" t="n">
        <x:v>1</x:v>
      </x:c>
      <x:c r="C10" s="21" t="n">
        <x:v>0.015625</x:v>
      </x:c>
      <x:c r="D10" s="21" t="n">
        <x:v>0.21799483479052362</x:v>
      </x:c>
      <x:c r="E10" s="21" t="n">
        <x:v>0.23313704952406417</x:v>
      </x:c>
      <x:c r="F10" s="21" t="n">
        <x:v>0.19531302779045182</x:v>
      </x:c>
      <x:c r="G10" s="21" t="n">
        <x:v>0.19956437101732893</x:v>
      </x:c>
      <x:c r="H10" s="21" t="n">
        <x:v>0.3144185864641736</x:v>
      </x:c>
      <x:c r="I10" s="21" t="n">
        <x:v>0.17978225360801503</x:v>
      </x:c>
      <x:c r="J10" s="21" t="n">
        <x:v>0.2384509919185686</x:v>
      </x:c>
      <x:c r="K10" s="21" t="n">
        <x:v>0.3594615496219282</x:v>
      </x:c>
      <x:c r="L10" s="21" t="n">
        <x:v>0.015912872026839737</x:v>
      </x:c>
      <x:c r="M10" s="21" t="n">
        <x:v>0</x:v>
      </x:c>
      <x:c r="N10" s="21" t="n">
        <x:v>0</x:v>
      </x:c>
      <x:c r="O10" s="21" t="n">
        <x:v>0.453125</x:v>
      </x:c>
      <x:c r="P10" s="21" t="n">
        <x:f>IF(ISNUMBER(U10),U10/R10,"待补评")</x:f>
        <x:v>0.3125</x:v>
      </x:c>
      <x:c r="Q10" s="23" t="n">
        <x:v>70</x:v>
      </x:c>
      <x:c r="R10" s="23" t="n">
        <x:v>64</x:v>
      </x:c>
      <x:c r="S10" s="23" t="n">
        <x:v>6</x:v>
      </x:c>
      <x:c r="T10" s="23" t="n">
        <x:v>1</x:v>
      </x:c>
      <x:c r="U10" s="23" t="n">
        <x:v>20</x:v>
      </x:c>
      <x:c r="V10" s="23" t="n">
        <x:v>11</x:v>
      </x:c>
      <x:c r="W10" s="23" t="n">
        <x:v>7</x:v>
      </x:c>
      <x:c r="X10" s="25" t="n">
        <x:v>1229</x:v>
      </x:c>
    </x:row>
    <x:row r="11" ht="24" customHeight="1">
      <x:c r="A11" s="7" t="n">
        <x:v>1</x:v>
      </x:c>
      <x:c r="B11" s="7" t="n">
        <x:v>2</x:v>
      </x:c>
      <x:c r="C11" s="20" t="n">
        <x:v>0.015625</x:v>
      </x:c>
      <x:c r="D11" s="20" t="n">
        <x:v>0.21688696135111776</x:v>
      </x:c>
      <x:c r="E11" s="20" t="n">
        <x:v>0.23195174106822847</x:v>
      </x:c>
      <x:c r="F11" s="20" t="n">
        <x:v>0.17407116420010893</x:v>
      </x:c>
      <x:c r="G11" s="20" t="n">
        <x:v>0.2144685339424373</x:v>
      </x:c>
      <x:c r="H11" s="20" t="n">
        <x:v>0.35191152176771584</x:v>
      </x:c>
      <x:c r="I11" s="20" t="n">
        <x:v>0.17304319169552182</x:v>
      </x:c>
      <x:c r="J11" s="20" t="n">
        <x:v>0.2670679203885876</x:v>
      </x:c>
      <x:c r="K11" s="20" t="n">
        <x:v>0.41825931216117385</x:v>
      </x:c>
      <x:c r="L11" s="20" t="n">
        <x:v>0.03984936706253182</x:v>
      </x:c>
      <x:c r="M11" s="20" t="n">
        <x:v>0</x:v>
      </x:c>
      <x:c r="N11" s="20" t="n">
        <x:v>0</x:v>
      </x:c>
      <x:c r="O11" s="20" t="n">
        <x:v>0.234375</x:v>
      </x:c>
      <x:c r="P11" s="20" t="n">
        <x:f>IF(ISNUMBER(U11),U11/R11,"待补评")</x:f>
        <x:v>0.015625</x:v>
      </x:c>
      <x:c r="Q11" s="22" t="n">
        <x:v>70</x:v>
      </x:c>
      <x:c r="R11" s="22" t="n">
        <x:v>64</x:v>
      </x:c>
      <x:c r="S11" s="22" t="n">
        <x:v>6</x:v>
      </x:c>
      <x:c r="T11" s="22" t="n">
        <x:v>1</x:v>
      </x:c>
      <x:c r="U11" s="22" t="n">
        <x:v>1</x:v>
      </x:c>
      <x:c r="V11" s="22" t="n">
        <x:v>8</x:v>
      </x:c>
      <x:c r="W11" s="22" t="n">
        <x:v>5</x:v>
      </x:c>
      <x:c r="X11" s="24" t="n">
        <x:v>1857.5</x:v>
      </x:c>
    </x:row>
    <x:row r="12" ht="24" customHeight="1">
      <x:c r="A12" s="19" t="n">
        <x:v>1</x:v>
      </x:c>
      <x:c r="B12" s="19" t="n">
        <x:v>3</x:v>
      </x:c>
      <x:c r="C12" s="21" t="n">
        <x:v>0</x:v>
      </x:c>
      <x:c r="D12" s="21" t="n">
        <x:v>0.1518541111609706</x:v>
      </x:c>
      <x:c r="E12" s="21" t="n">
        <x:v>0.1579392430695358</x:v>
      </x:c>
      <x:c r="F12" s="21" t="n">
        <x:v>0.11159905517801641</x:v>
      </x:c>
      <x:c r="G12" s="21" t="n">
        <x:v>0.1454278774845715</x:v>
      </x:c>
      <x:c r="H12" s="21" t="n">
        <x:v>0.3918089753436908</x:v>
      </x:c>
      <x:c r="I12" s="21" t="n">
        <x:v>0.10775530343039</x:v>
      </x:c>
      <x:c r="J12" s="21" t="n">
        <x:v>0.17323401549101072</x:v>
      </x:c>
      <x:c r="K12" s="21" t="n">
        <x:v>0.4289298514975851</x:v>
      </x:c>
      <x:c r="L12" s="21" t="n">
        <x:v>0.004264913287975793</x:v>
      </x:c>
      <x:c r="M12" s="21" t="n">
        <x:v>0</x:v>
      </x:c>
      <x:c r="N12" s="21" t="n">
        <x:v>0</x:v>
      </x:c>
      <x:c r="O12" s="21" t="n">
        <x:v>0.49019607843137253</x:v>
      </x:c>
      <x:c r="P12" s="21" t="n">
        <x:f>IF(ISNUMBER(U12),U12/R12,"待补评")</x:f>
        <x:v>0.19607843137254902</x:v>
      </x:c>
      <x:c r="Q12" s="23" t="n">
        <x:v>64</x:v>
      </x:c>
      <x:c r="R12" s="23" t="n">
        <x:v>51</x:v>
      </x:c>
      <x:c r="S12" s="23" t="n">
        <x:v>13</x:v>
      </x:c>
      <x:c r="T12" s="23" t="n">
        <x:v>0</x:v>
      </x:c>
      <x:c r="U12" s="23" t="n">
        <x:v>10</x:v>
      </x:c>
      <x:c r="V12" s="23" t="n">
        <x:v>4</x:v>
      </x:c>
      <x:c r="W12" s="23" t="n">
        <x:v>4</x:v>
      </x:c>
      <x:c r="X12" s="25" t="n">
        <x:v>487</x:v>
      </x:c>
    </x:row>
    <x:row r="13" ht="24" customHeight="1">
      <x:c r="A13" s="7" t="n">
        <x:v>2</x:v>
      </x:c>
      <x:c r="B13" s="7" t="n">
        <x:v>1</x:v>
      </x:c>
      <x:c r="C13" s="20" t="n">
        <x:v>0</x:v>
      </x:c>
      <x:c r="D13" s="20" t="n">
        <x:v>0.27326649260662345</x:v>
      </x:c>
      <x:c r="E13" s="20" t="n">
        <x:v>0.2859958095444277</x:v>
      </x:c>
      <x:c r="F13" s="20" t="n">
        <x:v>0.21642444976689</x:v>
      </x:c>
      <x:c r="G13" s="20" t="n">
        <x:v>0.25793884382370935</x:v>
      </x:c>
      <x:c r="H13" s="20" t="n">
        <x:v>0.2941032741760481</x:v>
      </x:c>
      <x:c r="I13" s="20" t="n">
        <x:v>0.20457980159160002</x:v>
      </x:c>
      <x:c r="J13" s="20" t="n">
        <x:v>0.3290124355275571</x:v>
      </x:c>
      <x:c r="K13" s="20" t="n">
        <x:v>0.3742681368411827</x:v>
      </x:c>
      <x:c r="L13" s="20" t="n">
        <x:v>0.00022039754149450822</x:v>
      </x:c>
      <x:c r="M13" s="20" t="n">
        <x:v>0</x:v>
      </x:c>
      <x:c r="N13" s="20" t="n">
        <x:v>0</x:v>
      </x:c>
      <x:c r="O13" s="20" t="n">
        <x:v>0.08163265306122448</x:v>
      </x:c>
      <x:c r="P13" s="20" t="n">
        <x:f>IF(ISNUMBER(U13),U13/R13,"待补评")</x:f>
        <x:v>0</x:v>
      </x:c>
      <x:c r="Q13" s="22" t="n">
        <x:v>64</x:v>
      </x:c>
      <x:c r="R13" s="22" t="n">
        <x:v>49</x:v>
      </x:c>
      <x:c r="S13" s="22" t="n">
        <x:v>15</x:v>
      </x:c>
      <x:c r="T13" s="22" t="n">
        <x:v>0</x:v>
      </x:c>
      <x:c r="U13" s="22" t="n">
        <x:v>0</x:v>
      </x:c>
      <x:c r="V13" s="22" t="n">
        <x:v>7</x:v>
      </x:c>
      <x:c r="W13" s="22" t="n">
        <x:v>5</x:v>
      </x:c>
      <x:c r="X13" s="24" t="n">
        <x:v>1848</x:v>
      </x:c>
    </x:row>
    <x:row r="14" ht="24" customHeight="1">
      <x:c r="A14" s="19" t="n">
        <x:v>2</x:v>
      </x:c>
      <x:c r="B14" s="19" t="n">
        <x:v>2</x:v>
      </x:c>
      <x:c r="C14" s="21" t="n">
        <x:v>0.0196078431372549</x:v>
      </x:c>
      <x:c r="D14" s="21" t="n">
        <x:v>0.31355168506588943</x:v>
      </x:c>
      <x:c r="E14" s="21" t="n">
        <x:v>0.3240876913669897</x:v>
      </x:c>
      <x:c r="F14" s="21" t="n">
        <x:v>0.25518169008690983</x:v>
      </x:c>
      <x:c r="G14" s="21" t="n">
        <x:v>0.3152442079437819</x:v>
      </x:c>
      <x:c r="H14" s="21" t="n">
        <x:v>0.3698003965657019</x:v>
      </x:c>
      <x:c r="I14" s="21" t="n">
        <x:v>0.2613665676570888</x:v>
      </x:c>
      <x:c r="J14" s="21" t="n">
        <x:v>0.3778809776455259</x:v>
      </x:c>
      <x:c r="K14" s="21" t="n">
        <x:v>0.4336659478850442</x:v>
      </x:c>
      <x:c r="L14" s="21" t="n">
        <x:v>0.04727498745759343</x:v>
      </x:c>
      <x:c r="M14" s="21" t="n">
        <x:v>0</x:v>
      </x:c>
      <x:c r="N14" s="21" t="n">
        <x:v>0</x:v>
      </x:c>
      <x:c r="O14" s="21" t="n">
        <x:v>0.09803921568627451</x:v>
      </x:c>
      <x:c r="P14" s="21" t="n">
        <x:f>IF(ISNUMBER(U14),U14/R14,"待补评")</x:f>
        <x:v>0.0196078431372549</x:v>
      </x:c>
      <x:c r="Q14" s="23" t="n">
        <x:v>64</x:v>
      </x:c>
      <x:c r="R14" s="23" t="n">
        <x:v>51</x:v>
      </x:c>
      <x:c r="S14" s="23" t="n">
        <x:v>13</x:v>
      </x:c>
      <x:c r="T14" s="23" t="n">
        <x:v>1</x:v>
      </x:c>
      <x:c r="U14" s="23" t="n">
        <x:v>1</x:v>
      </x:c>
      <x:c r="V14" s="23" t="n">
        <x:v>10</x:v>
      </x:c>
      <x:c r="W14" s="23" t="n">
        <x:v>6</x:v>
      </x:c>
      <x:c r="X14" s="25" t="n">
        <x:v>1848</x:v>
      </x:c>
    </x:row>
    <x:row r="15" ht="24" customHeight="1">
      <x:c r="A15" s="7" t="n">
        <x:v>2</x:v>
      </x:c>
      <x:c r="B15" s="7" t="n">
        <x:v>3</x:v>
      </x:c>
      <x:c r="C15" s="20" t="n">
        <x:v>0</x:v>
      </x:c>
      <x:c r="D15" s="20" t="n">
        <x:v>0.11536802417188351</x:v>
      </x:c>
      <x:c r="E15" s="20" t="n">
        <x:v>0.1211306680746199</x:v>
      </x:c>
      <x:c r="F15" s="20" t="n">
        <x:v>0.07913195780688775</x:v>
      </x:c>
      <x:c r="G15" s="20" t="n">
        <x:v>0.10970795882541137</x:v>
      </x:c>
      <x:c r="H15" s="20" t="n">
        <x:v>0.1259109442658252</x:v>
      </x:c>
      <x:c r="I15" s="20" t="n">
        <x:v>0.07514126827652944</x:v>
      </x:c>
      <x:c r="J15" s="20" t="n">
        <x:v>0.15716139128462892</x:v>
      </x:c>
      <x:c r="K15" s="20" t="n">
        <x:v>0.1792875669593044</x:v>
      </x:c>
      <x:c r="L15" s="20" t="n">
        <x:v>0.000032350066877848684</x:v>
      </x:c>
      <x:c r="M15" s="20" t="n">
        <x:v>0</x:v>
      </x:c>
      <x:c r="N15" s="20" t="n">
        <x:v>0</x:v>
      </x:c>
      <x:c r="O15" s="20" t="n">
        <x:v>0.42</x:v>
      </x:c>
      <x:c r="P15" s="20" t="n">
        <x:f>IF(ISNUMBER(U15),U15/R15,"待补评")</x:f>
        <x:v>0.36</x:v>
      </x:c>
      <x:c r="Q15" s="22" t="n">
        <x:v>64</x:v>
      </x:c>
      <x:c r="R15" s="22" t="n">
        <x:v>50</x:v>
      </x:c>
      <x:c r="S15" s="22" t="n">
        <x:v>14</x:v>
      </x:c>
      <x:c r="T15" s="22" t="n">
        <x:v>0</x:v>
      </x:c>
      <x:c r="U15" s="22" t="n">
        <x:v>18</x:v>
      </x:c>
      <x:c r="V15" s="22" t="n">
        <x:v>1</x:v>
      </x:c>
      <x:c r="W15" s="22" t="n">
        <x:v>0</x:v>
      </x:c>
      <x:c r="X15" s="24" t="n">
        <x:v>716.5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24" customHeight="1">
      <x:c r="A18" s="26" t="str">
        <x:v>来源：fulldata 原始指标及前五组离线补评结果；新四组 201 条样本的分词与指标校验通过。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40" customHeight="1">
      <x:c r="A20" s="16" t="str">
        <x:v>sample_seed</x:v>
      </x:c>
      <x:c r="B20" s="17" t="str">
        <x:v>attack_seed</x:v>
      </x:c>
      <x:c r="C20" s="18" t="str">
        <x:v>归档目录 / 指标状态</x:v>
      </x:c>
      <x:c r="D20" s="2"/>
      <x:c r="E20" s="2" t="str">
        <x:v>训练池篇数</x:v>
      </x:c>
      <x:c r="F20" s="2" t="str">
        <x:v>测试篇数</x:v>
      </x:c>
      <x:c r="G20" s="2" t="str">
        <x:v>成功评估篇数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24" customHeight="1">
      <x:c r="A21" s="27" t="n">
        <x:v>0</x:v>
      </x:c>
      <x:c r="B21" s="27" t="n">
        <x:v>1</x:v>
      </x:c>
      <x:c r="C21" s="28" t="str">
        <x:v>s0a1（离线补评）</x:v>
      </x:c>
      <x:c r="D21" s="2"/>
      <x:c r="E21" s="22" t="n">
        <x:v>30</x:v>
      </x:c>
      <x:c r="F21" s="22" t="n">
        <x:v>70</x:v>
      </x:c>
      <x:c r="G21" s="22" t="n">
        <x:v>64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4" customHeight="1">
      <x:c r="A22" s="27" t="n">
        <x:v>0</x:v>
      </x:c>
      <x:c r="B22" s="27" t="n">
        <x:v>2</x:v>
      </x:c>
      <x:c r="C22" s="28" t="str">
        <x:v>s0a2（离线补评）</x:v>
      </x:c>
      <x:c r="D22" s="2"/>
      <x:c r="E22" s="22" t="n">
        <x:v>30</x:v>
      </x:c>
      <x:c r="F22" s="22" t="n">
        <x:v>70</x:v>
      </x:c>
      <x:c r="G22" s="22" t="n">
        <x:v>64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4" customHeight="1">
      <x:c r="A23" s="27" t="n">
        <x:v>0</x:v>
      </x:c>
      <x:c r="B23" s="27" t="n">
        <x:v>3</x:v>
      </x:c>
      <x:c r="C23" s="28" t="str">
        <x:v>s0a3（离线补评）</x:v>
      </x:c>
      <x:c r="D23" s="2"/>
      <x:c r="E23" s="22" t="n">
        <x:v>30</x:v>
      </x:c>
      <x:c r="F23" s="22" t="n">
        <x:v>70</x:v>
      </x:c>
      <x:c r="G23" s="22" t="n">
        <x:v>64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24" customHeight="1">
      <x:c r="A24" s="27" t="n">
        <x:v>1</x:v>
      </x:c>
      <x:c r="B24" s="27" t="n">
        <x:v>1</x:v>
      </x:c>
      <x:c r="C24" s="28" t="str">
        <x:v>s1a1（离线补评）</x:v>
      </x:c>
      <x:c r="D24" s="2"/>
      <x:c r="E24" s="22" t="n">
        <x:v>30</x:v>
      </x:c>
      <x:c r="F24" s="22" t="n">
        <x:v>70</x:v>
      </x:c>
      <x:c r="G24" s="22" t="n">
        <x:v>64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24" customHeight="1">
      <x:c r="A25" s="27" t="n">
        <x:v>1</x:v>
      </x:c>
      <x:c r="B25" s="27" t="n">
        <x:v>2</x:v>
      </x:c>
      <x:c r="C25" s="28" t="str">
        <x:v>s1a2（离线补评）</x:v>
      </x:c>
      <x:c r="D25" s="2"/>
      <x:c r="E25" s="22" t="n">
        <x:v>30</x:v>
      </x:c>
      <x:c r="F25" s="22" t="n">
        <x:v>70</x:v>
      </x:c>
      <x:c r="G25" s="22" t="n">
        <x:v>64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24" customHeight="1">
      <x:c r="A26" s="27" t="n">
        <x:v>1</x:v>
      </x:c>
      <x:c r="B26" s="27" t="n">
        <x:v>3</x:v>
      </x:c>
      <x:c r="C26" s="28" t="str">
        <x:v>s1a3（原新指标）</x:v>
      </x:c>
      <x:c r="D26" s="2"/>
      <x:c r="E26" s="22" t="n">
        <x:v>30</x:v>
      </x:c>
      <x:c r="F26" s="22" t="n">
        <x:v>64</x:v>
      </x:c>
      <x:c r="G26" s="22" t="n">
        <x:v>51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24" customHeight="1">
      <x:c r="A27" s="27" t="n">
        <x:v>2</x:v>
      </x:c>
      <x:c r="B27" s="27" t="n">
        <x:v>1</x:v>
      </x:c>
      <x:c r="C27" s="28" t="str">
        <x:v>s2a1（原新指标）</x:v>
      </x:c>
      <x:c r="D27" s="2"/>
      <x:c r="E27" s="22" t="n">
        <x:v>29</x:v>
      </x:c>
      <x:c r="F27" s="22" t="n">
        <x:v>64</x:v>
      </x:c>
      <x:c r="G27" s="22" t="n">
        <x:v>49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24" customHeight="1">
      <x:c r="A28" s="27" t="n">
        <x:v>2</x:v>
      </x:c>
      <x:c r="B28" s="27" t="n">
        <x:v>2</x:v>
      </x:c>
      <x:c r="C28" s="28" t="str">
        <x:v>s2a2（原新指标）</x:v>
      </x:c>
      <x:c r="D28" s="2"/>
      <x:c r="E28" s="22" t="n">
        <x:v>29</x:v>
      </x:c>
      <x:c r="F28" s="22" t="n">
        <x:v>64</x:v>
      </x:c>
      <x:c r="G28" s="22" t="n">
        <x:v>51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24" customHeight="1">
      <x:c r="A29" s="27" t="n">
        <x:v>2</x:v>
      </x:c>
      <x:c r="B29" s="27" t="n">
        <x:v>3</x:v>
      </x:c>
      <x:c r="C29" s="28" t="str">
        <x:v>s2a3（原新指标）</x:v>
      </x:c>
      <x:c r="D29" s="2"/>
      <x:c r="E29" s="22" t="n">
        <x:v>29</x:v>
      </x:c>
      <x:c r="F29" s="22" t="n">
        <x:v>64</x:v>
      </x:c>
      <x:c r="G29" s="22" t="n">
        <x:v>50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</x:sheetData>
  <x:conditionalFormatting sqref="C7:X15">
    <x:cfRule type="containsText" dxfId="0" priority="1" operator="containsText" text="待补评"/>
  </x:conditionalFormatting>
  <x:pageMargins left="0.7" right="0.7" top="0.75" bottom="0.75" header="0.3" footer="0.3"/>
</x:worksheet>
</file>