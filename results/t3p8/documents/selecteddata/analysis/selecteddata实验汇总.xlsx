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ia/PLeak_skill_adapted/results/t3p8/documents/selecteddata/analysis/"/>
    </mc:Choice>
  </mc:AlternateContent>
  <xr:revisionPtr revIDLastSave="0" documentId="13_ncr:1_{D7577A83-4B6B-6743-A2C8-989DA3AFA66B}" xr6:coauthVersionLast="47" xr6:coauthVersionMax="47" xr10:uidLastSave="{00000000-0000-0000-0000-000000000000}"/>
  <bookViews>
    <workbookView xWindow="4420" yWindow="660" windowWidth="24980" windowHeight="17280" activeTab="3" xr2:uid="{00000000-000D-0000-FFFF-FFFF00000000}"/>
  </bookViews>
  <sheets>
    <sheet name="总平均" sheetId="1" r:id="rId1"/>
    <sheet name="按sample_seed平均" sheetId="2" r:id="rId2"/>
    <sheet name="按attack_seed平均" sheetId="3" r:id="rId3"/>
    <sheet name="九次实验总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4" l="1"/>
  <c r="P13" i="4"/>
  <c r="P12" i="4"/>
  <c r="P11" i="4"/>
  <c r="P10" i="4"/>
  <c r="P9" i="4"/>
  <c r="P8" i="4"/>
  <c r="P7" i="4"/>
  <c r="P6" i="4"/>
  <c r="F27" i="3"/>
  <c r="E27" i="3"/>
  <c r="D27" i="3"/>
  <c r="F26" i="3"/>
  <c r="E26" i="3"/>
  <c r="D26" i="3"/>
  <c r="F25" i="3"/>
  <c r="E25" i="3"/>
  <c r="D25" i="3"/>
  <c r="F24" i="3"/>
  <c r="E24" i="3"/>
  <c r="D24" i="3"/>
  <c r="F23" i="3"/>
  <c r="E23" i="3"/>
  <c r="D23" i="3"/>
  <c r="F22" i="3"/>
  <c r="E22" i="3"/>
  <c r="D22" i="3"/>
  <c r="F21" i="3"/>
  <c r="E21" i="3"/>
  <c r="D21" i="3"/>
  <c r="F20" i="3"/>
  <c r="E20" i="3"/>
  <c r="D20" i="3"/>
  <c r="F19" i="3"/>
  <c r="E19" i="3"/>
  <c r="D19" i="3"/>
  <c r="F18" i="3"/>
  <c r="E18" i="3"/>
  <c r="D18" i="3"/>
  <c r="F17" i="3"/>
  <c r="E17" i="3"/>
  <c r="D17" i="3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E6" i="2"/>
  <c r="D6" i="2"/>
  <c r="F5" i="2"/>
  <c r="E5" i="2"/>
  <c r="D5" i="2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<sst xmlns="http://schemas.openxmlformats.org/spreadsheetml/2006/main" count="252" uniqueCount="68">
  <si>
    <t>documents selecteddata：总平均</t>
  </si>
  <si>
    <t>指标</t>
  </si>
  <si>
    <t>原始字段</t>
  </si>
  <si>
    <t>单位</t>
  </si>
  <si>
    <t>总平均</t>
  </si>
  <si>
    <t>实验次数</t>
  </si>
  <si>
    <t>run_count</t>
  </si>
  <si>
    <t>次</t>
  </si>
  <si>
    <t>完整原文前缀泄漏率</t>
  </si>
  <si>
    <t>full_skill_leak_rate</t>
  </si>
  <si>
    <t>比例</t>
  </si>
  <si>
    <t>正文 ROUGE-L recall</t>
  </si>
  <si>
    <t>mean_body_rougeL_recall</t>
  </si>
  <si>
    <t>正文 ROUGE-L precision</t>
  </si>
  <si>
    <t>mean_body_rougeL_precision</t>
  </si>
  <si>
    <t>正文 ROUGE-2 recall</t>
  </si>
  <si>
    <t>mean_body_rouge2_recall</t>
  </si>
  <si>
    <t>全文 ROUGE-L recall</t>
  </si>
  <si>
    <t>mean_rougeL_recall</t>
  </si>
  <si>
    <t>全文 ROUGE-L precision</t>
  </si>
  <si>
    <t>mean_rougeL_precision</t>
  </si>
  <si>
    <t>全文 ROUGE-2 recall</t>
  </si>
  <si>
    <t>mean_rouge2_recall</t>
  </si>
  <si>
    <t>Token recall</t>
  </si>
  <si>
    <t>mean_token_recall</t>
  </si>
  <si>
    <t>Token precision</t>
  </si>
  <si>
    <t>mean_token_precision</t>
  </si>
  <si>
    <t>公共前缀比例</t>
  </si>
  <si>
    <t>mean_common_prefix_ratio</t>
  </si>
  <si>
    <t>Markdown 精确匹配率</t>
  </si>
  <si>
    <t>exact_markdown_match_rate</t>
  </si>
  <si>
    <t>Token 精确匹配率</t>
  </si>
  <si>
    <t>exact_token_match_rate</t>
  </si>
  <si>
    <t>EOS 比例</t>
  </si>
  <si>
    <t>eos_rate</t>
  </si>
  <si>
    <t>空内容输出率</t>
  </si>
  <si>
    <t>empty_content_rate</t>
  </si>
  <si>
    <t>测试样本数</t>
  </si>
  <si>
    <t>total_samples</t>
  </si>
  <si>
    <t>篇/实验</t>
  </si>
  <si>
    <t>有效评估样本数</t>
  </si>
  <si>
    <t>evaluated_samples</t>
  </si>
  <si>
    <t>生成失败样本数</t>
  </si>
  <si>
    <t>failed_samples</t>
  </si>
  <si>
    <t>完整原文前缀泄漏数</t>
  </si>
  <si>
    <t>full_skill_leak_count</t>
  </si>
  <si>
    <t>空内容输出数</t>
  </si>
  <si>
    <t>empty_content_count</t>
  </si>
  <si>
    <t>正文 RL recall ≥ 0.5 数</t>
  </si>
  <si>
    <t>body_rougeL_ge_0_5_count</t>
  </si>
  <si>
    <t>正文 RL recall ≥ 0.9 数</t>
  </si>
  <si>
    <t>body_rougeL_ge_0_9_count</t>
  </si>
  <si>
    <t>输出 token 数中位数</t>
  </si>
  <si>
    <t>median_prediction_tokens</t>
  </si>
  <si>
    <t>token/实验</t>
  </si>
  <si>
    <t>documents selecteddata：按 sample_seed 平均</t>
  </si>
  <si>
    <t>sample_seed = 0</t>
  </si>
  <si>
    <t>sample_seed = 1</t>
  </si>
  <si>
    <t>sample_seed = 2</t>
  </si>
  <si>
    <t>documents selecteddata：按 attack_seed 平均</t>
  </si>
  <si>
    <t>attack_seed = 1</t>
  </si>
  <si>
    <t>attack_seed = 2</t>
  </si>
  <si>
    <t>attack_seed = 3</t>
  </si>
  <si>
    <t>documents selecteddata：九次实验总表</t>
  </si>
  <si>
    <t>train_num=3；prefix_length=8；trigger_length=12；shadow/target=llama；dtype=bfloat16；gradient checkpointing=true</t>
  </si>
  <si>
    <t>sample_seed</t>
  </si>
  <si>
    <t>attack_seed</t>
  </si>
  <si>
    <t>Metric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</si>
</sst>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1"/>
      <name val="Carlito"/>
    </font>
    <font>
      <sz val="11"/>
      <color rgb="FF182B3A"/>
      <name val="Arial"/>
      <family val="2"/>
    </font>
    <font>
      <b/>
      <sz val="16"/>
      <color rgb="FF243B53"/>
      <name val="Arial"/>
      <family val="2"/>
    </font>
    <font>
      <i/>
      <sz val="11"/>
      <color rgb="FF52667A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DF2F7"/>
      </patternFill>
    </fill>
  </fills>
  <borders count="5">
    <border>
      <left/>
      <right/>
      <top/>
      <bottom/>
      <diagonal/>
    </border>
    <border>
      <left/>
      <right/>
      <top/>
      <bottom style="thin">
        <color rgb="FF94A3B8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Font="1" applyAlignment="1">
      <alignment horizontal="right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1" fillId="3" borderId="0" xfId="1" applyFont="1" applyFill="1" applyAlignment="1">
      <alignment horizontal="right" vertical="center"/>
    </xf>
    <xf numFmtId="10" fontId="1" fillId="0" borderId="0" xfId="1" applyNumberFormat="1" applyFont="1" applyAlignment="1">
      <alignment horizontal="right" vertical="center"/>
    </xf>
    <xf numFmtId="10" fontId="1" fillId="3" borderId="0" xfId="1" applyNumberFormat="1" applyFont="1" applyFill="1" applyAlignment="1">
      <alignment horizontal="right" vertical="center"/>
    </xf>
    <xf numFmtId="1" fontId="1" fillId="0" borderId="0" xfId="1" applyNumberFormat="1" applyFont="1" applyAlignment="1">
      <alignment horizontal="right" vertical="center"/>
    </xf>
    <xf numFmtId="1" fontId="1" fillId="3" borderId="0" xfId="1" applyNumberFormat="1" applyFont="1" applyFill="1" applyAlignment="1">
      <alignment horizontal="right" vertical="center"/>
    </xf>
    <xf numFmtId="176" fontId="1" fillId="0" borderId="0" xfId="1" applyNumberFormat="1" applyFont="1" applyAlignment="1">
      <alignment horizontal="right" vertical="center"/>
    </xf>
    <xf numFmtId="176" fontId="1" fillId="3" borderId="0" xfId="1" applyNumberFormat="1" applyFont="1" applyFill="1" applyAlignment="1">
      <alignment horizontal="right" vertical="center"/>
    </xf>
    <xf numFmtId="0" fontId="1" fillId="3" borderId="0" xfId="1" applyFont="1" applyFill="1" applyAlignment="1">
      <alignment vertical="center"/>
    </xf>
    <xf numFmtId="2" fontId="1" fillId="3" borderId="0" xfId="1" applyNumberFormat="1" applyFont="1" applyFill="1" applyAlignment="1">
      <alignment horizontal="right" vertical="center"/>
    </xf>
    <xf numFmtId="2" fontId="1" fillId="0" borderId="0" xfId="1" applyNumberFormat="1" applyFont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</sheetPr>
  <dimension ref="A1:D28"/>
  <sheetViews>
    <sheetView showGridLines="0" topLeftCell="A7" workbookViewId="0">
      <selection activeCell="C4" sqref="C4"/>
    </sheetView>
  </sheetViews>
  <sheetFormatPr baseColWidth="10" defaultColWidth="8.83203125" defaultRowHeight="14"/>
  <cols>
    <col min="1" max="1" width="29" customWidth="1"/>
    <col min="2" max="2" width="37" customWidth="1"/>
    <col min="3" max="3" width="15" customWidth="1"/>
    <col min="4" max="4" width="24" customWidth="1"/>
  </cols>
  <sheetData>
    <row r="1" spans="1:4" ht="9" customHeight="1">
      <c r="A1" s="1"/>
      <c r="B1" s="1"/>
      <c r="C1" s="1"/>
      <c r="D1" s="1"/>
    </row>
    <row r="2" spans="1:4" ht="30" customHeight="1">
      <c r="A2" s="2" t="s">
        <v>0</v>
      </c>
      <c r="B2" s="3"/>
      <c r="C2" s="3"/>
      <c r="D2" s="3"/>
    </row>
    <row r="3" spans="1:4" ht="24" customHeight="1">
      <c r="A3" s="1"/>
      <c r="B3" s="1"/>
      <c r="C3" s="1"/>
      <c r="D3" s="1"/>
    </row>
    <row r="4" spans="1:4" ht="40" customHeight="1">
      <c r="A4" s="6" t="s">
        <v>1</v>
      </c>
      <c r="B4" s="7" t="s">
        <v>67</v>
      </c>
      <c r="C4" s="7" t="s">
        <v>3</v>
      </c>
      <c r="D4" s="8" t="s">
        <v>4</v>
      </c>
    </row>
    <row r="5" spans="1:4" ht="24" customHeight="1">
      <c r="A5" s="1" t="s">
        <v>5</v>
      </c>
      <c r="B5" s="1" t="s">
        <v>6</v>
      </c>
      <c r="C5" s="1" t="s">
        <v>7</v>
      </c>
      <c r="D5" s="12">
        <f>COUNT(九次实验总表!$A$6:$A$14)</f>
        <v>9</v>
      </c>
    </row>
    <row r="6" spans="1:4" ht="24" customHeight="1">
      <c r="A6" s="16" t="s">
        <v>8</v>
      </c>
      <c r="B6" s="16" t="s">
        <v>9</v>
      </c>
      <c r="C6" s="16" t="s">
        <v>10</v>
      </c>
      <c r="D6" s="11">
        <f>AVERAGE(九次实验总表!$C$6:$C$14)</f>
        <v>1.7094017094017096E-2</v>
      </c>
    </row>
    <row r="7" spans="1:4" ht="24" customHeight="1">
      <c r="A7" s="1" t="s">
        <v>11</v>
      </c>
      <c r="B7" s="1" t="s">
        <v>12</v>
      </c>
      <c r="C7" s="1" t="s">
        <v>10</v>
      </c>
      <c r="D7" s="10">
        <f>AVERAGE(九次实验总表!$D$6:$D$14)</f>
        <v>0.17031537743768099</v>
      </c>
    </row>
    <row r="8" spans="1:4" ht="24" customHeight="1">
      <c r="A8" s="16" t="s">
        <v>13</v>
      </c>
      <c r="B8" s="16" t="s">
        <v>14</v>
      </c>
      <c r="C8" s="16" t="s">
        <v>10</v>
      </c>
      <c r="D8" s="11">
        <f>AVERAGE(九次实验总表!$E$6:$E$14)</f>
        <v>0.17081061858486324</v>
      </c>
    </row>
    <row r="9" spans="1:4" ht="24" customHeight="1">
      <c r="A9" s="1" t="s">
        <v>15</v>
      </c>
      <c r="B9" s="1" t="s">
        <v>16</v>
      </c>
      <c r="C9" s="1" t="s">
        <v>10</v>
      </c>
      <c r="D9" s="10">
        <f>AVERAGE(九次实验总表!$F$6:$F$14)</f>
        <v>0.1315291830658071</v>
      </c>
    </row>
    <row r="10" spans="1:4" ht="24" customHeight="1">
      <c r="A10" s="16" t="s">
        <v>17</v>
      </c>
      <c r="B10" s="16" t="s">
        <v>18</v>
      </c>
      <c r="C10" s="16" t="s">
        <v>10</v>
      </c>
      <c r="D10" s="11">
        <f>AVERAGE(九次实验总表!$G$6:$G$14)</f>
        <v>0.17860220981298885</v>
      </c>
    </row>
    <row r="11" spans="1:4" ht="24" customHeight="1">
      <c r="A11" s="1" t="s">
        <v>19</v>
      </c>
      <c r="B11" s="1" t="s">
        <v>20</v>
      </c>
      <c r="C11" s="1" t="s">
        <v>10</v>
      </c>
      <c r="D11" s="10">
        <f>AVERAGE(九次实验总表!$H$6:$H$14)</f>
        <v>0.2756604506386176</v>
      </c>
    </row>
    <row r="12" spans="1:4" ht="24" customHeight="1">
      <c r="A12" s="16" t="s">
        <v>21</v>
      </c>
      <c r="B12" s="16" t="s">
        <v>22</v>
      </c>
      <c r="C12" s="16" t="s">
        <v>10</v>
      </c>
      <c r="D12" s="11">
        <f>AVERAGE(九次实验总表!$I$6:$I$14)</f>
        <v>0.14331738311421102</v>
      </c>
    </row>
    <row r="13" spans="1:4" ht="24" customHeight="1">
      <c r="A13" s="1" t="s">
        <v>23</v>
      </c>
      <c r="B13" s="1" t="s">
        <v>24</v>
      </c>
      <c r="C13" s="1" t="s">
        <v>10</v>
      </c>
      <c r="D13" s="10">
        <f>AVERAGE(九次实验总表!$J$6:$J$14)</f>
        <v>0.20995684213202337</v>
      </c>
    </row>
    <row r="14" spans="1:4" ht="24" customHeight="1">
      <c r="A14" s="16" t="s">
        <v>25</v>
      </c>
      <c r="B14" s="16" t="s">
        <v>26</v>
      </c>
      <c r="C14" s="16" t="s">
        <v>10</v>
      </c>
      <c r="D14" s="11">
        <f>AVERAGE(九次实验总表!$K$6:$K$14)</f>
        <v>0.30812209940137081</v>
      </c>
    </row>
    <row r="15" spans="1:4" ht="24" customHeight="1">
      <c r="A15" s="1" t="s">
        <v>27</v>
      </c>
      <c r="B15" s="1" t="s">
        <v>28</v>
      </c>
      <c r="C15" s="1" t="s">
        <v>10</v>
      </c>
      <c r="D15" s="10">
        <f>AVERAGE(九次实验总表!$L$6:$L$14)</f>
        <v>2.3609591991548787E-2</v>
      </c>
    </row>
    <row r="16" spans="1:4" ht="24" customHeight="1">
      <c r="A16" s="16" t="s">
        <v>29</v>
      </c>
      <c r="B16" s="16" t="s">
        <v>30</v>
      </c>
      <c r="C16" s="16" t="s">
        <v>10</v>
      </c>
      <c r="D16" s="11">
        <f>AVERAGE(九次实验总表!$M$6:$M$14)</f>
        <v>0</v>
      </c>
    </row>
    <row r="17" spans="1:4" ht="24" customHeight="1">
      <c r="A17" s="1" t="s">
        <v>31</v>
      </c>
      <c r="B17" s="1" t="s">
        <v>32</v>
      </c>
      <c r="C17" s="1" t="s">
        <v>10</v>
      </c>
      <c r="D17" s="10">
        <f>AVERAGE(九次实验总表!$N$6:$N$14)</f>
        <v>0</v>
      </c>
    </row>
    <row r="18" spans="1:4" ht="24" customHeight="1">
      <c r="A18" s="16" t="s">
        <v>33</v>
      </c>
      <c r="B18" s="16" t="s">
        <v>34</v>
      </c>
      <c r="C18" s="16" t="s">
        <v>10</v>
      </c>
      <c r="D18" s="11">
        <f>AVERAGE(九次实验总表!$O$6:$O$14)</f>
        <v>0.43162393162393159</v>
      </c>
    </row>
    <row r="19" spans="1:4" ht="24" customHeight="1">
      <c r="A19" s="1" t="s">
        <v>35</v>
      </c>
      <c r="B19" s="1" t="s">
        <v>36</v>
      </c>
      <c r="C19" s="1" t="s">
        <v>10</v>
      </c>
      <c r="D19" s="10">
        <f>AVERAGE(九次实验总表!$P$6:$P$14)</f>
        <v>0.29487179487179493</v>
      </c>
    </row>
    <row r="20" spans="1:4" ht="24" customHeight="1">
      <c r="A20" s="16" t="s">
        <v>37</v>
      </c>
      <c r="B20" s="16" t="s">
        <v>38</v>
      </c>
      <c r="C20" s="16" t="s">
        <v>39</v>
      </c>
      <c r="D20" s="17">
        <f>AVERAGE(九次实验总表!$Q$6:$Q$14)</f>
        <v>26</v>
      </c>
    </row>
    <row r="21" spans="1:4" ht="24" customHeight="1">
      <c r="A21" s="1" t="s">
        <v>40</v>
      </c>
      <c r="B21" s="1" t="s">
        <v>41</v>
      </c>
      <c r="C21" s="1" t="s">
        <v>39</v>
      </c>
      <c r="D21" s="18">
        <f>AVERAGE(九次实验总表!$R$6:$R$14)</f>
        <v>26</v>
      </c>
    </row>
    <row r="22" spans="1:4" ht="24" customHeight="1">
      <c r="A22" s="16" t="s">
        <v>42</v>
      </c>
      <c r="B22" s="16" t="s">
        <v>43</v>
      </c>
      <c r="C22" s="16" t="s">
        <v>39</v>
      </c>
      <c r="D22" s="17">
        <f>AVERAGE(九次实验总表!$S$6:$S$14)</f>
        <v>0</v>
      </c>
    </row>
    <row r="23" spans="1:4" ht="24" customHeight="1">
      <c r="A23" s="1" t="s">
        <v>44</v>
      </c>
      <c r="B23" s="1" t="s">
        <v>45</v>
      </c>
      <c r="C23" s="1" t="s">
        <v>39</v>
      </c>
      <c r="D23" s="18">
        <f>AVERAGE(九次实验总表!$T$6:$T$14)</f>
        <v>0.44444444444444442</v>
      </c>
    </row>
    <row r="24" spans="1:4" ht="24" customHeight="1">
      <c r="A24" s="16" t="s">
        <v>46</v>
      </c>
      <c r="B24" s="16" t="s">
        <v>47</v>
      </c>
      <c r="C24" s="16" t="s">
        <v>39</v>
      </c>
      <c r="D24" s="17">
        <f>AVERAGE(九次实验总表!$U$6:$U$14)</f>
        <v>7.666666666666667</v>
      </c>
    </row>
    <row r="25" spans="1:4" ht="24" customHeight="1">
      <c r="A25" s="1" t="s">
        <v>48</v>
      </c>
      <c r="B25" s="1" t="s">
        <v>49</v>
      </c>
      <c r="C25" s="1" t="s">
        <v>39</v>
      </c>
      <c r="D25" s="18">
        <f>AVERAGE(九次实验总表!$V$6:$V$14)</f>
        <v>2.4444444444444446</v>
      </c>
    </row>
    <row r="26" spans="1:4" ht="24" customHeight="1">
      <c r="A26" s="16" t="s">
        <v>50</v>
      </c>
      <c r="B26" s="16" t="s">
        <v>51</v>
      </c>
      <c r="C26" s="16" t="s">
        <v>39</v>
      </c>
      <c r="D26" s="17">
        <f>AVERAGE(九次实验总表!$W$6:$W$14)</f>
        <v>2</v>
      </c>
    </row>
    <row r="27" spans="1:4" ht="24" customHeight="1">
      <c r="A27" s="1" t="s">
        <v>52</v>
      </c>
      <c r="B27" s="1" t="s">
        <v>53</v>
      </c>
      <c r="C27" s="1" t="s">
        <v>54</v>
      </c>
      <c r="D27" s="18">
        <f>AVERAGE(九次实验总表!$X$6:$X$14)</f>
        <v>550.33333333333337</v>
      </c>
    </row>
    <row r="28" spans="1:4" ht="24" customHeight="1">
      <c r="A28" s="1"/>
      <c r="B28" s="1"/>
      <c r="C28" s="1"/>
      <c r="D28" s="1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3B53"/>
  </sheetPr>
  <dimension ref="A1:F28"/>
  <sheetViews>
    <sheetView showGridLines="0" workbookViewId="0">
      <selection activeCell="A3" sqref="A3:XFD4"/>
    </sheetView>
  </sheetViews>
  <sheetFormatPr baseColWidth="10" defaultColWidth="8.83203125" defaultRowHeight="14"/>
  <cols>
    <col min="1" max="1" width="29" customWidth="1"/>
    <col min="2" max="2" width="37" customWidth="1"/>
    <col min="3" max="3" width="15" customWidth="1"/>
    <col min="4" max="6" width="24" customWidth="1"/>
  </cols>
  <sheetData>
    <row r="1" spans="1:6" ht="9" customHeight="1">
      <c r="A1" s="1"/>
      <c r="B1" s="1"/>
      <c r="C1" s="1"/>
      <c r="D1" s="1"/>
      <c r="E1" s="1"/>
      <c r="F1" s="1"/>
    </row>
    <row r="2" spans="1:6" ht="30" customHeight="1">
      <c r="A2" s="2" t="s">
        <v>55</v>
      </c>
      <c r="B2" s="3"/>
      <c r="C2" s="3"/>
      <c r="D2" s="3"/>
      <c r="E2" s="3"/>
      <c r="F2" s="3"/>
    </row>
    <row r="3" spans="1:6" ht="24" customHeight="1">
      <c r="A3" s="1"/>
      <c r="B3" s="1"/>
      <c r="C3" s="1"/>
      <c r="D3" s="1"/>
      <c r="E3" s="1"/>
      <c r="F3" s="1"/>
    </row>
    <row r="4" spans="1:6" ht="40" customHeight="1">
      <c r="A4" s="6" t="s">
        <v>1</v>
      </c>
      <c r="B4" s="7" t="s">
        <v>2</v>
      </c>
      <c r="C4" s="7" t="s">
        <v>3</v>
      </c>
      <c r="D4" s="7" t="s">
        <v>56</v>
      </c>
      <c r="E4" s="7" t="s">
        <v>57</v>
      </c>
      <c r="F4" s="8" t="s">
        <v>58</v>
      </c>
    </row>
    <row r="5" spans="1:6" ht="24" customHeight="1">
      <c r="A5" s="1" t="s">
        <v>5</v>
      </c>
      <c r="B5" s="1" t="s">
        <v>6</v>
      </c>
      <c r="C5" s="1" t="s">
        <v>7</v>
      </c>
      <c r="D5" s="12">
        <f>COUNTIFS(九次实验总表!$A$6:$A$14,0)</f>
        <v>3</v>
      </c>
      <c r="E5" s="12">
        <f>COUNTIFS(九次实验总表!$A$6:$A$14,1)</f>
        <v>3</v>
      </c>
      <c r="F5" s="12">
        <f>COUNTIFS(九次实验总表!$A$6:$A$14,2)</f>
        <v>3</v>
      </c>
    </row>
    <row r="6" spans="1:6" ht="24" customHeight="1">
      <c r="A6" s="16" t="s">
        <v>8</v>
      </c>
      <c r="B6" s="16" t="s">
        <v>9</v>
      </c>
      <c r="C6" s="16" t="s">
        <v>10</v>
      </c>
      <c r="D6" s="11">
        <f>AVERAGEIFS(九次实验总表!$C$6:$C$14,九次实验总表!$A$6:$A$14,0)</f>
        <v>0</v>
      </c>
      <c r="E6" s="11">
        <f>AVERAGEIFS(九次实验总表!$C$6:$C$14,九次实验总表!$A$6:$A$14,1)</f>
        <v>3.8461538461538464E-2</v>
      </c>
      <c r="F6" s="11">
        <f>AVERAGEIFS(九次实验总表!$C$6:$C$14,九次实验总表!$A$6:$A$14,2)</f>
        <v>1.2820512820512822E-2</v>
      </c>
    </row>
    <row r="7" spans="1:6" ht="24" customHeight="1">
      <c r="A7" s="1" t="s">
        <v>11</v>
      </c>
      <c r="B7" s="1" t="s">
        <v>12</v>
      </c>
      <c r="C7" s="1" t="s">
        <v>10</v>
      </c>
      <c r="D7" s="10">
        <f>AVERAGEIFS(九次实验总表!$D$6:$D$14,九次实验总表!$A$6:$A$14,0)</f>
        <v>0.11366668665365309</v>
      </c>
      <c r="E7" s="10">
        <f>AVERAGEIFS(九次实验总表!$D$6:$D$14,九次实验总表!$A$6:$A$14,1)</f>
        <v>0.2003296546788966</v>
      </c>
      <c r="F7" s="10">
        <f>AVERAGEIFS(九次实验总表!$D$6:$D$14,九次实验总表!$A$6:$A$14,2)</f>
        <v>0.19694979098049339</v>
      </c>
    </row>
    <row r="8" spans="1:6" ht="24" customHeight="1">
      <c r="A8" s="16" t="s">
        <v>13</v>
      </c>
      <c r="B8" s="16" t="s">
        <v>14</v>
      </c>
      <c r="C8" s="16" t="s">
        <v>10</v>
      </c>
      <c r="D8" s="11">
        <f>AVERAGEIFS(九次实验总表!$E$6:$E$14,九次实验总表!$A$6:$A$14,0)</f>
        <v>0.12497077570931954</v>
      </c>
      <c r="E8" s="11">
        <f>AVERAGEIFS(九次实验总表!$E$6:$E$14,九次实验总表!$A$6:$A$14,1)</f>
        <v>0.19264536212544792</v>
      </c>
      <c r="F8" s="11">
        <f>AVERAGEIFS(九次实验总表!$E$6:$E$14,九次实验总表!$A$6:$A$14,2)</f>
        <v>0.19481571791982219</v>
      </c>
    </row>
    <row r="9" spans="1:6" ht="24" customHeight="1">
      <c r="A9" s="1" t="s">
        <v>15</v>
      </c>
      <c r="B9" s="1" t="s">
        <v>16</v>
      </c>
      <c r="C9" s="1" t="s">
        <v>10</v>
      </c>
      <c r="D9" s="10">
        <f>AVERAGEIFS(九次实验总表!$F$6:$F$14,九次实验总表!$A$6:$A$14,0)</f>
        <v>7.3049201068736358E-2</v>
      </c>
      <c r="E9" s="10">
        <f>AVERAGEIFS(九次实验总表!$F$6:$F$14,九次实验总表!$A$6:$A$14,1)</f>
        <v>0.15908226250558075</v>
      </c>
      <c r="F9" s="10">
        <f>AVERAGEIFS(九次实验总表!$F$6:$F$14,九次实验总表!$A$6:$A$14,2)</f>
        <v>0.16245608562310418</v>
      </c>
    </row>
    <row r="10" spans="1:6" ht="24" customHeight="1">
      <c r="A10" s="16" t="s">
        <v>17</v>
      </c>
      <c r="B10" s="16" t="s">
        <v>18</v>
      </c>
      <c r="C10" s="16" t="s">
        <v>10</v>
      </c>
      <c r="D10" s="11">
        <f>AVERAGEIFS(九次实验总表!$G$6:$G$14,九次实验总表!$A$6:$A$14,0)</f>
        <v>0.11633236914568719</v>
      </c>
      <c r="E10" s="11">
        <f>AVERAGEIFS(九次实验总表!$G$6:$G$14,九次实验总表!$A$6:$A$14,1)</f>
        <v>0.20758121168766816</v>
      </c>
      <c r="F10" s="11">
        <f>AVERAGEIFS(九次实验总表!$G$6:$G$14,九次实验总表!$A$6:$A$14,2)</f>
        <v>0.21189304860561128</v>
      </c>
    </row>
    <row r="11" spans="1:6" ht="24" customHeight="1">
      <c r="A11" s="1" t="s">
        <v>19</v>
      </c>
      <c r="B11" s="1" t="s">
        <v>20</v>
      </c>
      <c r="C11" s="1" t="s">
        <v>10</v>
      </c>
      <c r="D11" s="10">
        <f>AVERAGEIFS(九次实验总表!$H$6:$H$14,九次实验总表!$A$6:$A$14,0)</f>
        <v>0.28906119746309117</v>
      </c>
      <c r="E11" s="10">
        <f>AVERAGEIFS(九次实验总表!$H$6:$H$14,九次实验总表!$A$6:$A$14,1)</f>
        <v>0.28941863319079547</v>
      </c>
      <c r="F11" s="10">
        <f>AVERAGEIFS(九次实验总表!$H$6:$H$14,九次实验总表!$A$6:$A$14,2)</f>
        <v>0.2485015212619662</v>
      </c>
    </row>
    <row r="12" spans="1:6" ht="24" customHeight="1">
      <c r="A12" s="16" t="s">
        <v>21</v>
      </c>
      <c r="B12" s="16" t="s">
        <v>22</v>
      </c>
      <c r="C12" s="16" t="s">
        <v>10</v>
      </c>
      <c r="D12" s="11">
        <f>AVERAGEIFS(九次实验总表!$I$6:$I$14,九次实验总表!$A$6:$A$14,0)</f>
        <v>7.8586956049796444E-2</v>
      </c>
      <c r="E12" s="11">
        <f>AVERAGEIFS(九次实验总表!$I$6:$I$14,九次实验总表!$A$6:$A$14,1)</f>
        <v>0.16938744670163741</v>
      </c>
      <c r="F12" s="11">
        <f>AVERAGEIFS(九次实验总表!$I$6:$I$14,九次实验总表!$A$6:$A$14,2)</f>
        <v>0.18197774659119917</v>
      </c>
    </row>
    <row r="13" spans="1:6" ht="24" customHeight="1">
      <c r="A13" s="1" t="s">
        <v>23</v>
      </c>
      <c r="B13" s="1" t="s">
        <v>24</v>
      </c>
      <c r="C13" s="1" t="s">
        <v>10</v>
      </c>
      <c r="D13" s="10">
        <f>AVERAGEIFS(九次实验总表!$J$6:$J$14,九次实验总表!$A$6:$A$14,0)</f>
        <v>0.13979019274465385</v>
      </c>
      <c r="E13" s="10">
        <f>AVERAGEIFS(九次实验总表!$J$6:$J$14,九次实验总表!$A$6:$A$14,1)</f>
        <v>0.24717694398507425</v>
      </c>
      <c r="F13" s="10">
        <f>AVERAGEIFS(九次实验总表!$J$6:$J$14,九次实验总表!$A$6:$A$14,2)</f>
        <v>0.24290338966634203</v>
      </c>
    </row>
    <row r="14" spans="1:6" ht="24" customHeight="1">
      <c r="A14" s="16" t="s">
        <v>25</v>
      </c>
      <c r="B14" s="16" t="s">
        <v>26</v>
      </c>
      <c r="C14" s="16" t="s">
        <v>10</v>
      </c>
      <c r="D14" s="11">
        <f>AVERAGEIFS(九次实验总表!$K$6:$K$14,九次实验总表!$A$6:$A$14,0)</f>
        <v>0.31702062469240055</v>
      </c>
      <c r="E14" s="11">
        <f>AVERAGEIFS(九次实验总表!$K$6:$K$14,九次实验总表!$A$6:$A$14,1)</f>
        <v>0.33014759843649349</v>
      </c>
      <c r="F14" s="11">
        <f>AVERAGEIFS(九次实验总表!$K$6:$K$14,九次实验总表!$A$6:$A$14,2)</f>
        <v>0.27719807507521849</v>
      </c>
    </row>
    <row r="15" spans="1:6" ht="24" customHeight="1">
      <c r="A15" s="1" t="s">
        <v>27</v>
      </c>
      <c r="B15" s="1" t="s">
        <v>28</v>
      </c>
      <c r="C15" s="1" t="s">
        <v>10</v>
      </c>
      <c r="D15" s="10">
        <f>AVERAGEIFS(九次实验总表!$L$6:$L$14,九次实验总表!$A$6:$A$14,0)</f>
        <v>3.89084123186565E-4</v>
      </c>
      <c r="E15" s="10">
        <f>AVERAGEIFS(九次实验总表!$L$6:$L$14,九次实验总表!$A$6:$A$14,1)</f>
        <v>5.6263973157286019E-2</v>
      </c>
      <c r="F15" s="10">
        <f>AVERAGEIFS(九次实验总表!$L$6:$L$14,九次实验总表!$A$6:$A$14,2)</f>
        <v>1.4175718694173771E-2</v>
      </c>
    </row>
    <row r="16" spans="1:6" ht="24" customHeight="1">
      <c r="A16" s="16" t="s">
        <v>29</v>
      </c>
      <c r="B16" s="16" t="s">
        <v>30</v>
      </c>
      <c r="C16" s="16" t="s">
        <v>10</v>
      </c>
      <c r="D16" s="11">
        <f>AVERAGEIFS(九次实验总表!$M$6:$M$14,九次实验总表!$A$6:$A$14,0)</f>
        <v>0</v>
      </c>
      <c r="E16" s="11">
        <f>AVERAGEIFS(九次实验总表!$M$6:$M$14,九次实验总表!$A$6:$A$14,1)</f>
        <v>0</v>
      </c>
      <c r="F16" s="11">
        <f>AVERAGEIFS(九次实验总表!$M$6:$M$14,九次实验总表!$A$6:$A$14,2)</f>
        <v>0</v>
      </c>
    </row>
    <row r="17" spans="1:6" ht="24" customHeight="1">
      <c r="A17" s="1" t="s">
        <v>31</v>
      </c>
      <c r="B17" s="1" t="s">
        <v>32</v>
      </c>
      <c r="C17" s="1" t="s">
        <v>10</v>
      </c>
      <c r="D17" s="10">
        <f>AVERAGEIFS(九次实验总表!$N$6:$N$14,九次实验总表!$A$6:$A$14,0)</f>
        <v>0</v>
      </c>
      <c r="E17" s="10">
        <f>AVERAGEIFS(九次实验总表!$N$6:$N$14,九次实验总表!$A$6:$A$14,1)</f>
        <v>0</v>
      </c>
      <c r="F17" s="10">
        <f>AVERAGEIFS(九次实验总表!$N$6:$N$14,九次实验总表!$A$6:$A$14,2)</f>
        <v>0</v>
      </c>
    </row>
    <row r="18" spans="1:6" ht="24" customHeight="1">
      <c r="A18" s="16" t="s">
        <v>33</v>
      </c>
      <c r="B18" s="16" t="s">
        <v>34</v>
      </c>
      <c r="C18" s="16" t="s">
        <v>10</v>
      </c>
      <c r="D18" s="11">
        <f>AVERAGEIFS(九次实验总表!$O$6:$O$14,九次实验总表!$A$6:$A$14,0)</f>
        <v>0.48717948717948717</v>
      </c>
      <c r="E18" s="11">
        <f>AVERAGEIFS(九次实验总表!$O$6:$O$14,九次实验总表!$A$6:$A$14,1)</f>
        <v>0.38461538461538464</v>
      </c>
      <c r="F18" s="11">
        <f>AVERAGEIFS(九次实验总表!$O$6:$O$14,九次实验总表!$A$6:$A$14,2)</f>
        <v>0.42307692307692313</v>
      </c>
    </row>
    <row r="19" spans="1:6" ht="24" customHeight="1">
      <c r="A19" s="1" t="s">
        <v>35</v>
      </c>
      <c r="B19" s="1" t="s">
        <v>36</v>
      </c>
      <c r="C19" s="1" t="s">
        <v>10</v>
      </c>
      <c r="D19" s="10">
        <f>AVERAGEIFS(九次实验总表!$P$6:$P$14,九次实验总表!$A$6:$A$14,0)</f>
        <v>0.25641025641025639</v>
      </c>
      <c r="E19" s="10">
        <f>AVERAGEIFS(九次实验总表!$P$6:$P$14,九次实验总表!$A$6:$A$14,1)</f>
        <v>0.25641025641025644</v>
      </c>
      <c r="F19" s="10">
        <f>AVERAGEIFS(九次实验总表!$P$6:$P$14,九次实验总表!$A$6:$A$14,2)</f>
        <v>0.37179487179487181</v>
      </c>
    </row>
    <row r="20" spans="1:6" ht="24" customHeight="1">
      <c r="A20" s="16" t="s">
        <v>37</v>
      </c>
      <c r="B20" s="16" t="s">
        <v>38</v>
      </c>
      <c r="C20" s="16" t="s">
        <v>39</v>
      </c>
      <c r="D20" s="17">
        <f>AVERAGEIFS(九次实验总表!$Q$6:$Q$14,九次实验总表!$A$6:$A$14,0)</f>
        <v>26</v>
      </c>
      <c r="E20" s="17">
        <f>AVERAGEIFS(九次实验总表!$Q$6:$Q$14,九次实验总表!$A$6:$A$14,1)</f>
        <v>26</v>
      </c>
      <c r="F20" s="17">
        <f>AVERAGEIFS(九次实验总表!$Q$6:$Q$14,九次实验总表!$A$6:$A$14,2)</f>
        <v>26</v>
      </c>
    </row>
    <row r="21" spans="1:6" ht="24" customHeight="1">
      <c r="A21" s="1" t="s">
        <v>40</v>
      </c>
      <c r="B21" s="1" t="s">
        <v>41</v>
      </c>
      <c r="C21" s="1" t="s">
        <v>39</v>
      </c>
      <c r="D21" s="18">
        <f>AVERAGEIFS(九次实验总表!$R$6:$R$14,九次实验总表!$A$6:$A$14,0)</f>
        <v>26</v>
      </c>
      <c r="E21" s="18">
        <f>AVERAGEIFS(九次实验总表!$R$6:$R$14,九次实验总表!$A$6:$A$14,1)</f>
        <v>26</v>
      </c>
      <c r="F21" s="18">
        <f>AVERAGEIFS(九次实验总表!$R$6:$R$14,九次实验总表!$A$6:$A$14,2)</f>
        <v>26</v>
      </c>
    </row>
    <row r="22" spans="1:6" ht="24" customHeight="1">
      <c r="A22" s="16" t="s">
        <v>42</v>
      </c>
      <c r="B22" s="16" t="s">
        <v>43</v>
      </c>
      <c r="C22" s="16" t="s">
        <v>39</v>
      </c>
      <c r="D22" s="17">
        <f>AVERAGEIFS(九次实验总表!$S$6:$S$14,九次实验总表!$A$6:$A$14,0)</f>
        <v>0</v>
      </c>
      <c r="E22" s="17">
        <f>AVERAGEIFS(九次实验总表!$S$6:$S$14,九次实验总表!$A$6:$A$14,1)</f>
        <v>0</v>
      </c>
      <c r="F22" s="17">
        <f>AVERAGEIFS(九次实验总表!$S$6:$S$14,九次实验总表!$A$6:$A$14,2)</f>
        <v>0</v>
      </c>
    </row>
    <row r="23" spans="1:6" ht="24" customHeight="1">
      <c r="A23" s="1" t="s">
        <v>44</v>
      </c>
      <c r="B23" s="1" t="s">
        <v>45</v>
      </c>
      <c r="C23" s="1" t="s">
        <v>39</v>
      </c>
      <c r="D23" s="18">
        <f>AVERAGEIFS(九次实验总表!$T$6:$T$14,九次实验总表!$A$6:$A$14,0)</f>
        <v>0</v>
      </c>
      <c r="E23" s="18">
        <f>AVERAGEIFS(九次实验总表!$T$6:$T$14,九次实验总表!$A$6:$A$14,1)</f>
        <v>1</v>
      </c>
      <c r="F23" s="18">
        <f>AVERAGEIFS(九次实验总表!$T$6:$T$14,九次实验总表!$A$6:$A$14,2)</f>
        <v>0.33333333333333331</v>
      </c>
    </row>
    <row r="24" spans="1:6" ht="24" customHeight="1">
      <c r="A24" s="16" t="s">
        <v>46</v>
      </c>
      <c r="B24" s="16" t="s">
        <v>47</v>
      </c>
      <c r="C24" s="16" t="s">
        <v>39</v>
      </c>
      <c r="D24" s="17">
        <f>AVERAGEIFS(九次实验总表!$U$6:$U$14,九次实验总表!$A$6:$A$14,0)</f>
        <v>6.666666666666667</v>
      </c>
      <c r="E24" s="17">
        <f>AVERAGEIFS(九次实验总表!$U$6:$U$14,九次实验总表!$A$6:$A$14,1)</f>
        <v>6.666666666666667</v>
      </c>
      <c r="F24" s="17">
        <f>AVERAGEIFS(九次实验总表!$U$6:$U$14,九次实验总表!$A$6:$A$14,2)</f>
        <v>9.6666666666666661</v>
      </c>
    </row>
    <row r="25" spans="1:6" ht="24" customHeight="1">
      <c r="A25" s="1" t="s">
        <v>48</v>
      </c>
      <c r="B25" s="1" t="s">
        <v>49</v>
      </c>
      <c r="C25" s="1" t="s">
        <v>39</v>
      </c>
      <c r="D25" s="18">
        <f>AVERAGEIFS(九次实验总表!$V$6:$V$14,九次实验总表!$A$6:$A$14,0)</f>
        <v>1</v>
      </c>
      <c r="E25" s="18">
        <f>AVERAGEIFS(九次实验总表!$V$6:$V$14,九次实验总表!$A$6:$A$14,1)</f>
        <v>3</v>
      </c>
      <c r="F25" s="18">
        <f>AVERAGEIFS(九次实验总表!$V$6:$V$14,九次实验总表!$A$6:$A$14,2)</f>
        <v>3.3333333333333335</v>
      </c>
    </row>
    <row r="26" spans="1:6" ht="24" customHeight="1">
      <c r="A26" s="16" t="s">
        <v>50</v>
      </c>
      <c r="B26" s="16" t="s">
        <v>51</v>
      </c>
      <c r="C26" s="16" t="s">
        <v>39</v>
      </c>
      <c r="D26" s="17">
        <f>AVERAGEIFS(九次实验总表!$W$6:$W$14,九次实验总表!$A$6:$A$14,0)</f>
        <v>1</v>
      </c>
      <c r="E26" s="17">
        <f>AVERAGEIFS(九次实验总表!$W$6:$W$14,九次实验总表!$A$6:$A$14,1)</f>
        <v>2.3333333333333335</v>
      </c>
      <c r="F26" s="17">
        <f>AVERAGEIFS(九次实验总表!$W$6:$W$14,九次实验总表!$A$6:$A$14,2)</f>
        <v>2.6666666666666665</v>
      </c>
    </row>
    <row r="27" spans="1:6" ht="24" customHeight="1">
      <c r="A27" s="1" t="s">
        <v>52</v>
      </c>
      <c r="B27" s="1" t="s">
        <v>53</v>
      </c>
      <c r="C27" s="1" t="s">
        <v>54</v>
      </c>
      <c r="D27" s="18">
        <f>AVERAGEIFS(九次实验总表!$X$6:$X$14,九次实验总表!$A$6:$A$14,0)</f>
        <v>540</v>
      </c>
      <c r="E27" s="18">
        <f>AVERAGEIFS(九次实验总表!$X$6:$X$14,九次实验总表!$A$6:$A$14,1)</f>
        <v>650.66666666666663</v>
      </c>
      <c r="F27" s="18">
        <f>AVERAGEIFS(九次实验总表!$X$6:$X$14,九次实验总表!$A$6:$A$14,2)</f>
        <v>460.33333333333331</v>
      </c>
    </row>
    <row r="28" spans="1:6" ht="24" customHeight="1">
      <c r="A28" s="1"/>
      <c r="B28" s="1"/>
      <c r="C28" s="1"/>
      <c r="D28" s="1"/>
      <c r="E28" s="1"/>
      <c r="F28" s="1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3B53"/>
  </sheetPr>
  <dimension ref="A1:F28"/>
  <sheetViews>
    <sheetView showGridLines="0" workbookViewId="0">
      <selection activeCell="A3" sqref="A3:XFD4"/>
    </sheetView>
  </sheetViews>
  <sheetFormatPr baseColWidth="10" defaultColWidth="8.83203125" defaultRowHeight="14"/>
  <cols>
    <col min="1" max="1" width="29" customWidth="1"/>
    <col min="2" max="2" width="37" customWidth="1"/>
    <col min="3" max="3" width="15" customWidth="1"/>
    <col min="4" max="6" width="24" customWidth="1"/>
  </cols>
  <sheetData>
    <row r="1" spans="1:6" ht="9" customHeight="1">
      <c r="A1" s="1"/>
      <c r="B1" s="1"/>
      <c r="C1" s="1"/>
      <c r="D1" s="1"/>
      <c r="E1" s="1"/>
      <c r="F1" s="1"/>
    </row>
    <row r="2" spans="1:6" ht="30" customHeight="1">
      <c r="A2" s="2" t="s">
        <v>59</v>
      </c>
      <c r="B2" s="3"/>
      <c r="C2" s="3"/>
      <c r="D2" s="3"/>
      <c r="E2" s="3"/>
      <c r="F2" s="3"/>
    </row>
    <row r="3" spans="1:6" ht="24" customHeight="1">
      <c r="A3" s="1"/>
      <c r="B3" s="1"/>
      <c r="C3" s="1"/>
      <c r="D3" s="1"/>
      <c r="E3" s="1"/>
      <c r="F3" s="1"/>
    </row>
    <row r="4" spans="1:6" ht="40" customHeight="1">
      <c r="A4" s="6" t="s">
        <v>1</v>
      </c>
      <c r="B4" s="7" t="s">
        <v>2</v>
      </c>
      <c r="C4" s="7" t="s">
        <v>3</v>
      </c>
      <c r="D4" s="7" t="s">
        <v>60</v>
      </c>
      <c r="E4" s="7" t="s">
        <v>61</v>
      </c>
      <c r="F4" s="8" t="s">
        <v>62</v>
      </c>
    </row>
    <row r="5" spans="1:6" ht="24" customHeight="1">
      <c r="A5" s="1" t="s">
        <v>5</v>
      </c>
      <c r="B5" s="1" t="s">
        <v>6</v>
      </c>
      <c r="C5" s="1" t="s">
        <v>7</v>
      </c>
      <c r="D5" s="12">
        <f>COUNTIFS(九次实验总表!$B$6:$B$14,1)</f>
        <v>3</v>
      </c>
      <c r="E5" s="12">
        <f>COUNTIFS(九次实验总表!$B$6:$B$14,2)</f>
        <v>3</v>
      </c>
      <c r="F5" s="12">
        <f>COUNTIFS(九次实验总表!$B$6:$B$14,3)</f>
        <v>3</v>
      </c>
    </row>
    <row r="6" spans="1:6" ht="24" customHeight="1">
      <c r="A6" s="16" t="s">
        <v>8</v>
      </c>
      <c r="B6" s="16" t="s">
        <v>9</v>
      </c>
      <c r="C6" s="16" t="s">
        <v>10</v>
      </c>
      <c r="D6" s="11">
        <f>AVERAGEIFS(九次实验总表!$C$6:$C$14,九次实验总表!$B$6:$B$14,1)</f>
        <v>0</v>
      </c>
      <c r="E6" s="11">
        <f>AVERAGEIFS(九次实验总表!$C$6:$C$14,九次实验总表!$B$6:$B$14,2)</f>
        <v>3.8461538461538464E-2</v>
      </c>
      <c r="F6" s="11">
        <f>AVERAGEIFS(九次实验总表!$C$6:$C$14,九次实验总表!$B$6:$B$14,3)</f>
        <v>1.2820512820512822E-2</v>
      </c>
    </row>
    <row r="7" spans="1:6" ht="24" customHeight="1">
      <c r="A7" s="1" t="s">
        <v>11</v>
      </c>
      <c r="B7" s="1" t="s">
        <v>12</v>
      </c>
      <c r="C7" s="1" t="s">
        <v>10</v>
      </c>
      <c r="D7" s="10">
        <f>AVERAGEIFS(九次实验总表!$D$6:$D$14,九次实验总表!$B$6:$B$14,1)</f>
        <v>6.7162801463727759E-2</v>
      </c>
      <c r="E7" s="10">
        <f>AVERAGEIFS(九次实验总表!$D$6:$D$14,九次实验总表!$B$6:$B$14,2)</f>
        <v>0.18935996746769743</v>
      </c>
      <c r="F7" s="10">
        <f>AVERAGEIFS(九次实验总表!$D$6:$D$14,九次实验总表!$B$6:$B$14,3)</f>
        <v>0.25442336338161792</v>
      </c>
    </row>
    <row r="8" spans="1:6" ht="24" customHeight="1">
      <c r="A8" s="16" t="s">
        <v>13</v>
      </c>
      <c r="B8" s="16" t="s">
        <v>14</v>
      </c>
      <c r="C8" s="16" t="s">
        <v>10</v>
      </c>
      <c r="D8" s="11">
        <f>AVERAGEIFS(九次实验总表!$E$6:$E$14,九次实验总表!$B$6:$B$14,1)</f>
        <v>6.5276875059485109E-2</v>
      </c>
      <c r="E8" s="11">
        <f>AVERAGEIFS(九次实验总表!$E$6:$E$14,九次实验总表!$B$6:$B$14,2)</f>
        <v>0.2086635079711944</v>
      </c>
      <c r="F8" s="11">
        <f>AVERAGEIFS(九次实验总表!$E$6:$E$14,九次实验总表!$B$6:$B$14,3)</f>
        <v>0.23849147272391016</v>
      </c>
    </row>
    <row r="9" spans="1:6" ht="24" customHeight="1">
      <c r="A9" s="1" t="s">
        <v>15</v>
      </c>
      <c r="B9" s="1" t="s">
        <v>16</v>
      </c>
      <c r="C9" s="1" t="s">
        <v>10</v>
      </c>
      <c r="D9" s="10">
        <f>AVERAGEIFS(九次实验总表!$F$6:$F$14,九次实验总表!$B$6:$B$14,1)</f>
        <v>3.5272085257178037E-2</v>
      </c>
      <c r="E9" s="10">
        <f>AVERAGEIFS(九次实验总表!$F$6:$F$14,九次实验总表!$B$6:$B$14,2)</f>
        <v>0.14593171198063107</v>
      </c>
      <c r="F9" s="10">
        <f>AVERAGEIFS(九次实验总表!$F$6:$F$14,九次实验总表!$B$6:$B$14,3)</f>
        <v>0.21338375195961215</v>
      </c>
    </row>
    <row r="10" spans="1:6" ht="24" customHeight="1">
      <c r="A10" s="16" t="s">
        <v>17</v>
      </c>
      <c r="B10" s="16" t="s">
        <v>18</v>
      </c>
      <c r="C10" s="16" t="s">
        <v>10</v>
      </c>
      <c r="D10" s="11">
        <f>AVERAGEIFS(九次实验总表!$G$6:$G$14,九次实验总表!$B$6:$B$14,1)</f>
        <v>6.4611053025344048E-2</v>
      </c>
      <c r="E10" s="11">
        <f>AVERAGEIFS(九次实验总表!$G$6:$G$14,九次实验总表!$B$6:$B$14,2)</f>
        <v>0.21507646704349023</v>
      </c>
      <c r="F10" s="11">
        <f>AVERAGEIFS(九次实验总表!$G$6:$G$14,九次实验总表!$B$6:$B$14,3)</f>
        <v>0.25611910937013233</v>
      </c>
    </row>
    <row r="11" spans="1:6" ht="24" customHeight="1">
      <c r="A11" s="1" t="s">
        <v>19</v>
      </c>
      <c r="B11" s="1" t="s">
        <v>20</v>
      </c>
      <c r="C11" s="1" t="s">
        <v>10</v>
      </c>
      <c r="D11" s="10">
        <f>AVERAGEIFS(九次实验总表!$H$6:$H$14,九次实验总表!$B$6:$B$14,1)</f>
        <v>0.20441982133565664</v>
      </c>
      <c r="E11" s="10">
        <f>AVERAGEIFS(九次实验总表!$H$6:$H$14,九次实验总表!$B$6:$B$14,2)</f>
        <v>0.32567602190384587</v>
      </c>
      <c r="F11" s="10">
        <f>AVERAGEIFS(九次实验总表!$H$6:$H$14,九次实验总表!$B$6:$B$14,3)</f>
        <v>0.29688550867635038</v>
      </c>
    </row>
    <row r="12" spans="1:6" ht="24" customHeight="1">
      <c r="A12" s="16" t="s">
        <v>21</v>
      </c>
      <c r="B12" s="16" t="s">
        <v>22</v>
      </c>
      <c r="C12" s="16" t="s">
        <v>10</v>
      </c>
      <c r="D12" s="11">
        <f>AVERAGEIFS(九次实验总表!$I$6:$I$14,九次实验总表!$B$6:$B$14,1)</f>
        <v>3.4604329262887305E-2</v>
      </c>
      <c r="E12" s="11">
        <f>AVERAGEIFS(九次实验总表!$I$6:$I$14,九次实验总表!$B$6:$B$14,2)</f>
        <v>0.1749514531697853</v>
      </c>
      <c r="F12" s="11">
        <f>AVERAGEIFS(九次实验总表!$I$6:$I$14,九次实验总表!$B$6:$B$14,3)</f>
        <v>0.22039636690996045</v>
      </c>
    </row>
    <row r="13" spans="1:6" ht="24" customHeight="1">
      <c r="A13" s="1" t="s">
        <v>23</v>
      </c>
      <c r="B13" s="1" t="s">
        <v>24</v>
      </c>
      <c r="C13" s="1" t="s">
        <v>10</v>
      </c>
      <c r="D13" s="10">
        <f>AVERAGEIFS(九次实验总表!$J$6:$J$14,九次实验总表!$B$6:$B$14,1)</f>
        <v>8.7372339474018249E-2</v>
      </c>
      <c r="E13" s="10">
        <f>AVERAGEIFS(九次实验总表!$J$6:$J$14,九次实验总表!$B$6:$B$14,2)</f>
        <v>0.2433788815730564</v>
      </c>
      <c r="F13" s="10">
        <f>AVERAGEIFS(九次实验总表!$J$6:$J$14,九次实验总表!$B$6:$B$14,3)</f>
        <v>0.2991193053489955</v>
      </c>
    </row>
    <row r="14" spans="1:6" ht="24" customHeight="1">
      <c r="A14" s="16" t="s">
        <v>25</v>
      </c>
      <c r="B14" s="16" t="s">
        <v>26</v>
      </c>
      <c r="C14" s="16" t="s">
        <v>10</v>
      </c>
      <c r="D14" s="11">
        <f>AVERAGEIFS(九次实验总表!$K$6:$K$14,九次实验总表!$B$6:$B$14,1)</f>
        <v>0.22648767657423685</v>
      </c>
      <c r="E14" s="11">
        <f>AVERAGEIFS(九次实验总表!$K$6:$K$14,九次实验总表!$B$6:$B$14,2)</f>
        <v>0.35648397783057167</v>
      </c>
      <c r="F14" s="11">
        <f>AVERAGEIFS(九次实验总表!$K$6:$K$14,九次实验总表!$B$6:$B$14,3)</f>
        <v>0.34139464379930401</v>
      </c>
    </row>
    <row r="15" spans="1:6" ht="24" customHeight="1">
      <c r="A15" s="1" t="s">
        <v>27</v>
      </c>
      <c r="B15" s="1" t="s">
        <v>28</v>
      </c>
      <c r="C15" s="1" t="s">
        <v>10</v>
      </c>
      <c r="D15" s="10">
        <f>AVERAGEIFS(九次实验总表!$L$6:$L$14,九次实验总表!$B$6:$B$14,1)</f>
        <v>1.7846606117504846E-4</v>
      </c>
      <c r="E15" s="10">
        <f>AVERAGEIFS(九次实验总表!$L$6:$L$14,九次实验总表!$B$6:$B$14,2)</f>
        <v>5.6507811587923194E-2</v>
      </c>
      <c r="F15" s="10">
        <f>AVERAGEIFS(九次实验总表!$L$6:$L$14,九次实验总表!$B$6:$B$14,3)</f>
        <v>1.4142498325548114E-2</v>
      </c>
    </row>
    <row r="16" spans="1:6" ht="24" customHeight="1">
      <c r="A16" s="16" t="s">
        <v>29</v>
      </c>
      <c r="B16" s="16" t="s">
        <v>30</v>
      </c>
      <c r="C16" s="16" t="s">
        <v>10</v>
      </c>
      <c r="D16" s="11">
        <f>AVERAGEIFS(九次实验总表!$M$6:$M$14,九次实验总表!$B$6:$B$14,1)</f>
        <v>0</v>
      </c>
      <c r="E16" s="11">
        <f>AVERAGEIFS(九次实验总表!$M$6:$M$14,九次实验总表!$B$6:$B$14,2)</f>
        <v>0</v>
      </c>
      <c r="F16" s="11">
        <f>AVERAGEIFS(九次实验总表!$M$6:$M$14,九次实验总表!$B$6:$B$14,3)</f>
        <v>0</v>
      </c>
    </row>
    <row r="17" spans="1:6" ht="24" customHeight="1">
      <c r="A17" s="1" t="s">
        <v>31</v>
      </c>
      <c r="B17" s="1" t="s">
        <v>32</v>
      </c>
      <c r="C17" s="1" t="s">
        <v>10</v>
      </c>
      <c r="D17" s="10">
        <f>AVERAGEIFS(九次实验总表!$N$6:$N$14,九次实验总表!$B$6:$B$14,1)</f>
        <v>0</v>
      </c>
      <c r="E17" s="10">
        <f>AVERAGEIFS(九次实验总表!$N$6:$N$14,九次实验总表!$B$6:$B$14,2)</f>
        <v>0</v>
      </c>
      <c r="F17" s="10">
        <f>AVERAGEIFS(九次实验总表!$N$6:$N$14,九次实验总表!$B$6:$B$14,3)</f>
        <v>0</v>
      </c>
    </row>
    <row r="18" spans="1:6" ht="24" customHeight="1">
      <c r="A18" s="16" t="s">
        <v>33</v>
      </c>
      <c r="B18" s="16" t="s">
        <v>34</v>
      </c>
      <c r="C18" s="16" t="s">
        <v>10</v>
      </c>
      <c r="D18" s="11">
        <f>AVERAGEIFS(九次实验总表!$O$6:$O$14,九次实验总表!$B$6:$B$14,1)</f>
        <v>0.62820512820512819</v>
      </c>
      <c r="E18" s="11">
        <f>AVERAGEIFS(九次实验总表!$O$6:$O$14,九次实验总表!$B$6:$B$14,2)</f>
        <v>0.38461538461538464</v>
      </c>
      <c r="F18" s="11">
        <f>AVERAGEIFS(九次实验总表!$O$6:$O$14,九次实验总表!$B$6:$B$14,3)</f>
        <v>0.2820512820512821</v>
      </c>
    </row>
    <row r="19" spans="1:6" ht="24" customHeight="1">
      <c r="A19" s="1" t="s">
        <v>35</v>
      </c>
      <c r="B19" s="1" t="s">
        <v>36</v>
      </c>
      <c r="C19" s="1" t="s">
        <v>10</v>
      </c>
      <c r="D19" s="10">
        <f>AVERAGEIFS(九次实验总表!$P$6:$P$14,九次实验总表!$B$6:$B$14,1)</f>
        <v>0.47435897435897439</v>
      </c>
      <c r="E19" s="10">
        <f>AVERAGEIFS(九次实验总表!$P$6:$P$14,九次实验总表!$B$6:$B$14,2)</f>
        <v>0.21794871794871795</v>
      </c>
      <c r="F19" s="10">
        <f>AVERAGEIFS(九次实验总表!$P$6:$P$14,九次实验总表!$B$6:$B$14,3)</f>
        <v>0.19230769230769229</v>
      </c>
    </row>
    <row r="20" spans="1:6" ht="24" customHeight="1">
      <c r="A20" s="16" t="s">
        <v>37</v>
      </c>
      <c r="B20" s="16" t="s">
        <v>38</v>
      </c>
      <c r="C20" s="16" t="s">
        <v>39</v>
      </c>
      <c r="D20" s="17">
        <f>AVERAGEIFS(九次实验总表!$Q$6:$Q$14,九次实验总表!$B$6:$B$14,1)</f>
        <v>26</v>
      </c>
      <c r="E20" s="17">
        <f>AVERAGEIFS(九次实验总表!$Q$6:$Q$14,九次实验总表!$B$6:$B$14,2)</f>
        <v>26</v>
      </c>
      <c r="F20" s="17">
        <f>AVERAGEIFS(九次实验总表!$Q$6:$Q$14,九次实验总表!$B$6:$B$14,3)</f>
        <v>26</v>
      </c>
    </row>
    <row r="21" spans="1:6" ht="24" customHeight="1">
      <c r="A21" s="1" t="s">
        <v>40</v>
      </c>
      <c r="B21" s="1" t="s">
        <v>41</v>
      </c>
      <c r="C21" s="1" t="s">
        <v>39</v>
      </c>
      <c r="D21" s="18">
        <f>AVERAGEIFS(九次实验总表!$R$6:$R$14,九次实验总表!$B$6:$B$14,1)</f>
        <v>26</v>
      </c>
      <c r="E21" s="18">
        <f>AVERAGEIFS(九次实验总表!$R$6:$R$14,九次实验总表!$B$6:$B$14,2)</f>
        <v>26</v>
      </c>
      <c r="F21" s="18">
        <f>AVERAGEIFS(九次实验总表!$R$6:$R$14,九次实验总表!$B$6:$B$14,3)</f>
        <v>26</v>
      </c>
    </row>
    <row r="22" spans="1:6" ht="24" customHeight="1">
      <c r="A22" s="16" t="s">
        <v>42</v>
      </c>
      <c r="B22" s="16" t="s">
        <v>43</v>
      </c>
      <c r="C22" s="16" t="s">
        <v>39</v>
      </c>
      <c r="D22" s="17">
        <f>AVERAGEIFS(九次实验总表!$S$6:$S$14,九次实验总表!$B$6:$B$14,1)</f>
        <v>0</v>
      </c>
      <c r="E22" s="17">
        <f>AVERAGEIFS(九次实验总表!$S$6:$S$14,九次实验总表!$B$6:$B$14,2)</f>
        <v>0</v>
      </c>
      <c r="F22" s="17">
        <f>AVERAGEIFS(九次实验总表!$S$6:$S$14,九次实验总表!$B$6:$B$14,3)</f>
        <v>0</v>
      </c>
    </row>
    <row r="23" spans="1:6" ht="24" customHeight="1">
      <c r="A23" s="1" t="s">
        <v>44</v>
      </c>
      <c r="B23" s="1" t="s">
        <v>45</v>
      </c>
      <c r="C23" s="1" t="s">
        <v>39</v>
      </c>
      <c r="D23" s="18">
        <f>AVERAGEIFS(九次实验总表!$T$6:$T$14,九次实验总表!$B$6:$B$14,1)</f>
        <v>0</v>
      </c>
      <c r="E23" s="18">
        <f>AVERAGEIFS(九次实验总表!$T$6:$T$14,九次实验总表!$B$6:$B$14,2)</f>
        <v>1</v>
      </c>
      <c r="F23" s="18">
        <f>AVERAGEIFS(九次实验总表!$T$6:$T$14,九次实验总表!$B$6:$B$14,3)</f>
        <v>0.33333333333333331</v>
      </c>
    </row>
    <row r="24" spans="1:6" ht="24" customHeight="1">
      <c r="A24" s="16" t="s">
        <v>46</v>
      </c>
      <c r="B24" s="16" t="s">
        <v>47</v>
      </c>
      <c r="C24" s="16" t="s">
        <v>39</v>
      </c>
      <c r="D24" s="17">
        <f>AVERAGEIFS(九次实验总表!$U$6:$U$14,九次实验总表!$B$6:$B$14,1)</f>
        <v>12.333333333333334</v>
      </c>
      <c r="E24" s="17">
        <f>AVERAGEIFS(九次实验总表!$U$6:$U$14,九次实验总表!$B$6:$B$14,2)</f>
        <v>5.666666666666667</v>
      </c>
      <c r="F24" s="17">
        <f>AVERAGEIFS(九次实验总表!$U$6:$U$14,九次实验总表!$B$6:$B$14,3)</f>
        <v>5</v>
      </c>
    </row>
    <row r="25" spans="1:6" ht="24" customHeight="1">
      <c r="A25" s="1" t="s">
        <v>48</v>
      </c>
      <c r="B25" s="1" t="s">
        <v>49</v>
      </c>
      <c r="C25" s="1" t="s">
        <v>39</v>
      </c>
      <c r="D25" s="18">
        <f>AVERAGEIFS(九次实验总表!$V$6:$V$14,九次实验总表!$B$6:$B$14,1)</f>
        <v>0</v>
      </c>
      <c r="E25" s="18">
        <f>AVERAGEIFS(九次实验总表!$V$6:$V$14,九次实验总表!$B$6:$B$14,2)</f>
        <v>2.6666666666666665</v>
      </c>
      <c r="F25" s="18">
        <f>AVERAGEIFS(九次实验总表!$V$6:$V$14,九次实验总表!$B$6:$B$14,3)</f>
        <v>4.666666666666667</v>
      </c>
    </row>
    <row r="26" spans="1:6" ht="24" customHeight="1">
      <c r="A26" s="16" t="s">
        <v>50</v>
      </c>
      <c r="B26" s="16" t="s">
        <v>51</v>
      </c>
      <c r="C26" s="16" t="s">
        <v>39</v>
      </c>
      <c r="D26" s="17">
        <f>AVERAGEIFS(九次实验总表!$W$6:$W$14,九次实验总表!$B$6:$B$14,1)</f>
        <v>0</v>
      </c>
      <c r="E26" s="17">
        <f>AVERAGEIFS(九次实验总表!$W$6:$W$14,九次实验总表!$B$6:$B$14,2)</f>
        <v>2.3333333333333335</v>
      </c>
      <c r="F26" s="17">
        <f>AVERAGEIFS(九次实验总表!$W$6:$W$14,九次实验总表!$B$6:$B$14,3)</f>
        <v>3.6666666666666665</v>
      </c>
    </row>
    <row r="27" spans="1:6" ht="24" customHeight="1">
      <c r="A27" s="1" t="s">
        <v>52</v>
      </c>
      <c r="B27" s="1" t="s">
        <v>53</v>
      </c>
      <c r="C27" s="1" t="s">
        <v>54</v>
      </c>
      <c r="D27" s="18">
        <f>AVERAGEIFS(九次实验总表!$X$6:$X$14,九次实验总表!$B$6:$B$14,1)</f>
        <v>151</v>
      </c>
      <c r="E27" s="18">
        <f>AVERAGEIFS(九次实验总表!$X$6:$X$14,九次实验总表!$B$6:$B$14,2)</f>
        <v>715.83333333333337</v>
      </c>
      <c r="F27" s="18">
        <f>AVERAGEIFS(九次实验总表!$X$6:$X$14,九次实验总表!$B$6:$B$14,3)</f>
        <v>784.16666666666663</v>
      </c>
    </row>
    <row r="28" spans="1:6" ht="24" customHeight="1">
      <c r="A28" s="1"/>
      <c r="B28" s="1"/>
      <c r="C28" s="1"/>
      <c r="D28" s="1"/>
      <c r="E28" s="1"/>
      <c r="F28" s="1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29AB1"/>
  </sheetPr>
  <dimension ref="A1:X17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E17" sqref="E17"/>
    </sheetView>
  </sheetViews>
  <sheetFormatPr baseColWidth="10" defaultColWidth="8.83203125" defaultRowHeight="14"/>
  <cols>
    <col min="1" max="2" width="15" customWidth="1"/>
    <col min="3" max="24" width="20" customWidth="1"/>
  </cols>
  <sheetData>
    <row r="1" spans="1:24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0" customHeight="1">
      <c r="A2" s="2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4" customHeight="1">
      <c r="A3" s="4" t="s">
        <v>64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54" customHeight="1">
      <c r="A5" s="6" t="s">
        <v>65</v>
      </c>
      <c r="B5" s="7" t="s">
        <v>66</v>
      </c>
      <c r="C5" s="7" t="s">
        <v>8</v>
      </c>
      <c r="D5" s="7" t="s">
        <v>11</v>
      </c>
      <c r="E5" s="7" t="s">
        <v>13</v>
      </c>
      <c r="F5" s="7" t="s">
        <v>15</v>
      </c>
      <c r="G5" s="7" t="s">
        <v>17</v>
      </c>
      <c r="H5" s="7" t="s">
        <v>19</v>
      </c>
      <c r="I5" s="7" t="s">
        <v>21</v>
      </c>
      <c r="J5" s="7" t="s">
        <v>23</v>
      </c>
      <c r="K5" s="7" t="s">
        <v>25</v>
      </c>
      <c r="L5" s="7" t="s">
        <v>27</v>
      </c>
      <c r="M5" s="7" t="s">
        <v>29</v>
      </c>
      <c r="N5" s="7" t="s">
        <v>31</v>
      </c>
      <c r="O5" s="7" t="s">
        <v>33</v>
      </c>
      <c r="P5" s="7" t="s">
        <v>35</v>
      </c>
      <c r="Q5" s="7" t="s">
        <v>37</v>
      </c>
      <c r="R5" s="7" t="s">
        <v>40</v>
      </c>
      <c r="S5" s="7" t="s">
        <v>42</v>
      </c>
      <c r="T5" s="7" t="s">
        <v>44</v>
      </c>
      <c r="U5" s="7" t="s">
        <v>46</v>
      </c>
      <c r="V5" s="7" t="s">
        <v>48</v>
      </c>
      <c r="W5" s="7" t="s">
        <v>50</v>
      </c>
      <c r="X5" s="8" t="s">
        <v>52</v>
      </c>
    </row>
    <row r="6" spans="1:24" ht="24" customHeight="1">
      <c r="A6" s="5">
        <v>0</v>
      </c>
      <c r="B6" s="5">
        <v>1</v>
      </c>
      <c r="C6" s="10">
        <v>0</v>
      </c>
      <c r="D6" s="10">
        <v>2.3507538717968388E-2</v>
      </c>
      <c r="E6" s="10">
        <v>5.5683796137672617E-2</v>
      </c>
      <c r="F6" s="10">
        <v>4.330834001163672E-3</v>
      </c>
      <c r="G6" s="10">
        <v>2.5743034465842998E-2</v>
      </c>
      <c r="H6" s="10">
        <v>0.45739154758112943</v>
      </c>
      <c r="I6" s="10">
        <v>7.9291897986850136E-3</v>
      </c>
      <c r="J6" s="10">
        <v>3.1362975055631036E-2</v>
      </c>
      <c r="K6" s="10">
        <v>0.46518931475666875</v>
      </c>
      <c r="L6" s="10">
        <v>5.3539818352514536E-4</v>
      </c>
      <c r="M6" s="10">
        <v>0</v>
      </c>
      <c r="N6" s="10">
        <v>0</v>
      </c>
      <c r="O6" s="10">
        <v>0.80769230769230771</v>
      </c>
      <c r="P6" s="10">
        <f t="shared" ref="P6:P14" si="0">U6/R6</f>
        <v>0.34615384615384615</v>
      </c>
      <c r="Q6" s="12">
        <v>26</v>
      </c>
      <c r="R6" s="12">
        <v>26</v>
      </c>
      <c r="S6" s="12">
        <v>0</v>
      </c>
      <c r="T6" s="12">
        <v>0</v>
      </c>
      <c r="U6" s="12">
        <v>9</v>
      </c>
      <c r="V6" s="12">
        <v>0</v>
      </c>
      <c r="W6" s="12">
        <v>0</v>
      </c>
      <c r="X6" s="14">
        <v>1</v>
      </c>
    </row>
    <row r="7" spans="1:24" ht="24" customHeight="1">
      <c r="A7" s="9">
        <v>0</v>
      </c>
      <c r="B7" s="9">
        <v>2</v>
      </c>
      <c r="C7" s="11">
        <v>0</v>
      </c>
      <c r="D7" s="11">
        <v>0.10469171278882397</v>
      </c>
      <c r="E7" s="11">
        <v>0.12831551632092913</v>
      </c>
      <c r="F7" s="11">
        <v>5.1737094504620461E-2</v>
      </c>
      <c r="G7" s="11">
        <v>0.13291326905883571</v>
      </c>
      <c r="H7" s="11">
        <v>0.21096606058429904</v>
      </c>
      <c r="I7" s="11">
        <v>8.380577119337243E-2</v>
      </c>
      <c r="J7" s="11">
        <v>0.16182071520410155</v>
      </c>
      <c r="K7" s="11">
        <v>0.24000519615158919</v>
      </c>
      <c r="L7" s="11">
        <v>6.318541860345498E-4</v>
      </c>
      <c r="M7" s="11">
        <v>0</v>
      </c>
      <c r="N7" s="11">
        <v>0</v>
      </c>
      <c r="O7" s="11">
        <v>0.34615384615384615</v>
      </c>
      <c r="P7" s="11">
        <f t="shared" si="0"/>
        <v>0.23076923076923078</v>
      </c>
      <c r="Q7" s="13">
        <v>26</v>
      </c>
      <c r="R7" s="13">
        <v>26</v>
      </c>
      <c r="S7" s="13">
        <v>0</v>
      </c>
      <c r="T7" s="13">
        <v>0</v>
      </c>
      <c r="U7" s="13">
        <v>6</v>
      </c>
      <c r="V7" s="13">
        <v>0</v>
      </c>
      <c r="W7" s="13">
        <v>0</v>
      </c>
      <c r="X7" s="15">
        <v>767.5</v>
      </c>
    </row>
    <row r="8" spans="1:24" ht="24" customHeight="1">
      <c r="A8" s="5">
        <v>0</v>
      </c>
      <c r="B8" s="5">
        <v>3</v>
      </c>
      <c r="C8" s="10">
        <v>0</v>
      </c>
      <c r="D8" s="10">
        <v>0.21280080845416696</v>
      </c>
      <c r="E8" s="10">
        <v>0.1909130146693569</v>
      </c>
      <c r="F8" s="10">
        <v>0.16307967470042495</v>
      </c>
      <c r="G8" s="10">
        <v>0.19034080391238289</v>
      </c>
      <c r="H8" s="10">
        <v>0.19882598422384495</v>
      </c>
      <c r="I8" s="10">
        <v>0.14402590715733191</v>
      </c>
      <c r="J8" s="10">
        <v>0.22618688797422898</v>
      </c>
      <c r="K8" s="10">
        <v>0.2458673631689437</v>
      </c>
      <c r="L8" s="10">
        <v>0</v>
      </c>
      <c r="M8" s="10">
        <v>0</v>
      </c>
      <c r="N8" s="10">
        <v>0</v>
      </c>
      <c r="O8" s="10">
        <v>0.30769230769230771</v>
      </c>
      <c r="P8" s="10">
        <f t="shared" si="0"/>
        <v>0.19230769230769232</v>
      </c>
      <c r="Q8" s="12">
        <v>26</v>
      </c>
      <c r="R8" s="12">
        <v>26</v>
      </c>
      <c r="S8" s="12">
        <v>0</v>
      </c>
      <c r="T8" s="12">
        <v>0</v>
      </c>
      <c r="U8" s="12">
        <v>5</v>
      </c>
      <c r="V8" s="12">
        <v>3</v>
      </c>
      <c r="W8" s="12">
        <v>3</v>
      </c>
      <c r="X8" s="14">
        <v>851.5</v>
      </c>
    </row>
    <row r="9" spans="1:24" ht="24" customHeight="1">
      <c r="A9" s="9">
        <v>1</v>
      </c>
      <c r="B9" s="9">
        <v>1</v>
      </c>
      <c r="C9" s="11">
        <v>0</v>
      </c>
      <c r="D9" s="11">
        <v>0.10290225117516671</v>
      </c>
      <c r="E9" s="11">
        <v>8.3951796394918912E-2</v>
      </c>
      <c r="F9" s="11">
        <v>5.7885277102545256E-2</v>
      </c>
      <c r="G9" s="11">
        <v>9.8330500857022357E-2</v>
      </c>
      <c r="H9" s="11">
        <v>9.1902973958403092E-2</v>
      </c>
      <c r="I9" s="11">
        <v>5.4905721438128073E-2</v>
      </c>
      <c r="J9" s="11">
        <v>0.13114236511025415</v>
      </c>
      <c r="K9" s="11">
        <v>0.12285961394748306</v>
      </c>
      <c r="L9" s="11">
        <v>0</v>
      </c>
      <c r="M9" s="11">
        <v>0</v>
      </c>
      <c r="N9" s="11">
        <v>0</v>
      </c>
      <c r="O9" s="11">
        <v>0.46153846153846156</v>
      </c>
      <c r="P9" s="11">
        <f t="shared" si="0"/>
        <v>0.46153846153846156</v>
      </c>
      <c r="Q9" s="13">
        <v>26</v>
      </c>
      <c r="R9" s="13">
        <v>26</v>
      </c>
      <c r="S9" s="13">
        <v>0</v>
      </c>
      <c r="T9" s="13">
        <v>0</v>
      </c>
      <c r="U9" s="13">
        <v>12</v>
      </c>
      <c r="V9" s="13">
        <v>0</v>
      </c>
      <c r="W9" s="13">
        <v>0</v>
      </c>
      <c r="X9" s="15">
        <v>452</v>
      </c>
    </row>
    <row r="10" spans="1:24" ht="24" customHeight="1">
      <c r="A10" s="5">
        <v>1</v>
      </c>
      <c r="B10" s="5">
        <v>2</v>
      </c>
      <c r="C10" s="10">
        <v>0.11538461538461539</v>
      </c>
      <c r="D10" s="10">
        <v>0.36162371761807638</v>
      </c>
      <c r="E10" s="10">
        <v>0.3868787858763435</v>
      </c>
      <c r="F10" s="10">
        <v>0.33099425457334541</v>
      </c>
      <c r="G10" s="10">
        <v>0.39363806282870295</v>
      </c>
      <c r="H10" s="10">
        <v>0.65572420890726046</v>
      </c>
      <c r="I10" s="10">
        <v>0.36615130644875771</v>
      </c>
      <c r="J10" s="10">
        <v>0.4165726682966282</v>
      </c>
      <c r="K10" s="10">
        <v>0.68838647948959364</v>
      </c>
      <c r="L10" s="10">
        <v>0.16873585308926106</v>
      </c>
      <c r="M10" s="10">
        <v>0</v>
      </c>
      <c r="N10" s="10">
        <v>0</v>
      </c>
      <c r="O10" s="10">
        <v>0.38461538461538464</v>
      </c>
      <c r="P10" s="10">
        <f t="shared" si="0"/>
        <v>0</v>
      </c>
      <c r="Q10" s="12">
        <v>26</v>
      </c>
      <c r="R10" s="12">
        <v>26</v>
      </c>
      <c r="S10" s="12">
        <v>0</v>
      </c>
      <c r="T10" s="12">
        <v>3</v>
      </c>
      <c r="U10" s="12">
        <v>0</v>
      </c>
      <c r="V10" s="12">
        <v>8</v>
      </c>
      <c r="W10" s="12">
        <v>7</v>
      </c>
      <c r="X10" s="14">
        <v>851.5</v>
      </c>
    </row>
    <row r="11" spans="1:24" ht="24" customHeight="1">
      <c r="A11" s="9">
        <v>1</v>
      </c>
      <c r="B11" s="9">
        <v>3</v>
      </c>
      <c r="C11" s="11">
        <v>0</v>
      </c>
      <c r="D11" s="11">
        <v>0.13646299524344666</v>
      </c>
      <c r="E11" s="11">
        <v>0.10710550410508134</v>
      </c>
      <c r="F11" s="11">
        <v>8.8367255840851547E-2</v>
      </c>
      <c r="G11" s="11">
        <v>0.13077507137727915</v>
      </c>
      <c r="H11" s="11">
        <v>0.12062871670672294</v>
      </c>
      <c r="I11" s="11">
        <v>8.7105312218026518E-2</v>
      </c>
      <c r="J11" s="11">
        <v>0.19381579854834038</v>
      </c>
      <c r="K11" s="11">
        <v>0.17919670187240375</v>
      </c>
      <c r="L11" s="11">
        <v>5.6066382596994838E-5</v>
      </c>
      <c r="M11" s="11">
        <v>0</v>
      </c>
      <c r="N11" s="11">
        <v>0</v>
      </c>
      <c r="O11" s="11">
        <v>0.30769230769230771</v>
      </c>
      <c r="P11" s="11">
        <f t="shared" si="0"/>
        <v>0.30769230769230771</v>
      </c>
      <c r="Q11" s="13">
        <v>26</v>
      </c>
      <c r="R11" s="13">
        <v>26</v>
      </c>
      <c r="S11" s="13">
        <v>0</v>
      </c>
      <c r="T11" s="13">
        <v>0</v>
      </c>
      <c r="U11" s="13">
        <v>8</v>
      </c>
      <c r="V11" s="13">
        <v>1</v>
      </c>
      <c r="W11" s="13">
        <v>0</v>
      </c>
      <c r="X11" s="15">
        <v>648.5</v>
      </c>
    </row>
    <row r="12" spans="1:24" ht="24" customHeight="1">
      <c r="A12" s="5">
        <v>2</v>
      </c>
      <c r="B12" s="5">
        <v>1</v>
      </c>
      <c r="C12" s="10">
        <v>0</v>
      </c>
      <c r="D12" s="10">
        <v>7.5078614498048174E-2</v>
      </c>
      <c r="E12" s="10">
        <v>5.619503264586382E-2</v>
      </c>
      <c r="F12" s="10">
        <v>4.3600144667825184E-2</v>
      </c>
      <c r="G12" s="10">
        <v>6.9759623753166786E-2</v>
      </c>
      <c r="H12" s="10">
        <v>6.3964942467437433E-2</v>
      </c>
      <c r="I12" s="10">
        <v>4.0978076551848812E-2</v>
      </c>
      <c r="J12" s="10">
        <v>9.9611678256169581E-2</v>
      </c>
      <c r="K12" s="10">
        <v>9.1414101018558722E-2</v>
      </c>
      <c r="L12" s="10">
        <v>0</v>
      </c>
      <c r="M12" s="10">
        <v>0</v>
      </c>
      <c r="N12" s="10">
        <v>0</v>
      </c>
      <c r="O12" s="10">
        <v>0.61538461538461542</v>
      </c>
      <c r="P12" s="10">
        <f t="shared" si="0"/>
        <v>0.61538461538461542</v>
      </c>
      <c r="Q12" s="12">
        <v>26</v>
      </c>
      <c r="R12" s="12">
        <v>26</v>
      </c>
      <c r="S12" s="12">
        <v>0</v>
      </c>
      <c r="T12" s="12">
        <v>0</v>
      </c>
      <c r="U12" s="12">
        <v>16</v>
      </c>
      <c r="V12" s="12">
        <v>0</v>
      </c>
      <c r="W12" s="12">
        <v>0</v>
      </c>
      <c r="X12" s="14">
        <v>0</v>
      </c>
    </row>
    <row r="13" spans="1:24" ht="24" customHeight="1">
      <c r="A13" s="9">
        <v>2</v>
      </c>
      <c r="B13" s="9">
        <v>2</v>
      </c>
      <c r="C13" s="11">
        <v>0</v>
      </c>
      <c r="D13" s="11">
        <v>0.1017644719961919</v>
      </c>
      <c r="E13" s="11">
        <v>0.11079622171631048</v>
      </c>
      <c r="F13" s="11">
        <v>5.5063786863927398E-2</v>
      </c>
      <c r="G13" s="11">
        <v>0.11867806924293195</v>
      </c>
      <c r="H13" s="11">
        <v>0.11033779621997805</v>
      </c>
      <c r="I13" s="11">
        <v>7.489728186722576E-2</v>
      </c>
      <c r="J13" s="11">
        <v>0.1517432612184394</v>
      </c>
      <c r="K13" s="11">
        <v>0.14106025785053206</v>
      </c>
      <c r="L13" s="11">
        <v>1.5572748847396734E-4</v>
      </c>
      <c r="M13" s="11">
        <v>0</v>
      </c>
      <c r="N13" s="11">
        <v>0</v>
      </c>
      <c r="O13" s="11">
        <v>0.42307692307692307</v>
      </c>
      <c r="P13" s="11">
        <f t="shared" si="0"/>
        <v>0.42307692307692307</v>
      </c>
      <c r="Q13" s="13">
        <v>26</v>
      </c>
      <c r="R13" s="13">
        <v>26</v>
      </c>
      <c r="S13" s="13">
        <v>0</v>
      </c>
      <c r="T13" s="13">
        <v>0</v>
      </c>
      <c r="U13" s="13">
        <v>11</v>
      </c>
      <c r="V13" s="13">
        <v>0</v>
      </c>
      <c r="W13" s="13">
        <v>0</v>
      </c>
      <c r="X13" s="15">
        <v>528.5</v>
      </c>
    </row>
    <row r="14" spans="1:24" ht="24" customHeight="1">
      <c r="A14" s="5">
        <v>2</v>
      </c>
      <c r="B14" s="5">
        <v>3</v>
      </c>
      <c r="C14" s="10">
        <v>3.8461538461538464E-2</v>
      </c>
      <c r="D14" s="10">
        <v>0.41400628644724013</v>
      </c>
      <c r="E14" s="10">
        <v>0.41745589939729222</v>
      </c>
      <c r="F14" s="10">
        <v>0.38870432533755994</v>
      </c>
      <c r="G14" s="10">
        <v>0.44724145282073507</v>
      </c>
      <c r="H14" s="10">
        <v>0.57120182509848316</v>
      </c>
      <c r="I14" s="10">
        <v>0.43005788135452294</v>
      </c>
      <c r="J14" s="10">
        <v>0.47735522952441711</v>
      </c>
      <c r="K14" s="10">
        <v>0.59911986635656467</v>
      </c>
      <c r="L14" s="10">
        <v>4.2371428594047349E-2</v>
      </c>
      <c r="M14" s="10">
        <v>0</v>
      </c>
      <c r="N14" s="10">
        <v>0</v>
      </c>
      <c r="O14" s="10">
        <v>0.23076923076923078</v>
      </c>
      <c r="P14" s="10">
        <f t="shared" si="0"/>
        <v>7.6923076923076927E-2</v>
      </c>
      <c r="Q14" s="12">
        <v>26</v>
      </c>
      <c r="R14" s="12">
        <v>26</v>
      </c>
      <c r="S14" s="12">
        <v>0</v>
      </c>
      <c r="T14" s="12">
        <v>1</v>
      </c>
      <c r="U14" s="12">
        <v>2</v>
      </c>
      <c r="V14" s="12">
        <v>10</v>
      </c>
      <c r="W14" s="12">
        <v>8</v>
      </c>
      <c r="X14" s="14">
        <v>852.5</v>
      </c>
    </row>
    <row r="15" spans="1:24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总平均</vt:lpstr>
      <vt:lpstr>按sample_seed平均</vt:lpstr>
      <vt:lpstr>按attack_seed平均</vt:lpstr>
      <vt:lpstr>九次实验总表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 Yu</cp:lastModifiedBy>
  <dcterms:modified xsi:type="dcterms:W3CDTF">2026-10-08T06:38:40Z</dcterms:modified>
</cp:coreProperties>
</file>