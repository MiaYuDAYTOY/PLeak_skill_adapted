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e9fac99fca4b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平均" sheetId="1" r:id="Ra73b977fb5c94492"/>
    <x:sheet xmlns:r="http://schemas.openxmlformats.org/officeDocument/2006/relationships" name="按sample_seed平均" sheetId="2" r:id="R552718943aca4d30"/>
    <x:sheet xmlns:r="http://schemas.openxmlformats.org/officeDocument/2006/relationships" name="按attack_seed平均" sheetId="3" r:id="Re52ce0c775c24517"/>
    <x:sheet xmlns:r="http://schemas.openxmlformats.org/officeDocument/2006/relationships" name="九次实验总表" sheetId="4" r:id="R530df5a479b041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"/>
    <x:numFmt numFmtId="202" formatCode="0.0"/>
    <x:numFmt numFmtId="203" formatCode="0.00"/>
  </x:numFmts>
  <x:fonts count="6">
    <x:font>
      <x:sz val="11"/>
      <x:name val="Carlito"/>
    </x:font>
    <x:font>
      <x:sz val="11"/>
      <x:color rgb="FF182B3A"/>
      <x:name val="Arial"/>
    </x:font>
    <x:font>
      <x:b/>
      <x:sz val="16"/>
      <x:color rgb="FF243B53"/>
      <x:name val="Arial"/>
    </x:font>
    <x:font>
      <x:i/>
      <x:sz val="11"/>
      <x:color rgb="FF52667A"/>
      <x:name val="Arial"/>
    </x:font>
    <x:font>
      <x:b/>
      <x:sz val="11"/>
      <x:color rgb="FFFFFFFF"/>
      <x:name val="Arial"/>
    </x:font>
    <x:font>
      <x:sz val="11"/>
      <x:color rgb="FF52667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DF2F7"/>
      </x:patternFill>
    </x:fill>
  </x:fills>
  <x:borders count="5">
    <x:border/>
    <x:border>
      <x:bottom style="thin">
        <x:color rgb="FF94A3B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4d42fea5e4428f" /><Relationship Type="http://schemas.openxmlformats.org/officeDocument/2006/relationships/theme" Target="/xl/theme/theme1.xml" Id="R3fd2593fad7c45fe" /><Relationship Type="http://schemas.openxmlformats.org/officeDocument/2006/relationships/sharedStrings" Target="/xl/sharedStrings.xml" Id="Rd47d4c92f69e4121" /><Relationship Type="http://schemas.openxmlformats.org/officeDocument/2006/relationships/worksheet" Target="/xl/worksheets/sheet1.xml" Id="Ra73b977fb5c94492" /><Relationship Type="http://schemas.openxmlformats.org/officeDocument/2006/relationships/worksheet" Target="/xl/worksheets/sheet2.xml" Id="R552718943aca4d30" /><Relationship Type="http://schemas.openxmlformats.org/officeDocument/2006/relationships/worksheet" Target="/xl/worksheets/sheet3.xml" Id="Re52ce0c775c24517" /><Relationship Type="http://schemas.openxmlformats.org/officeDocument/2006/relationships/worksheet" Target="/xl/worksheets/sheet4.xml" Id="R530df5a479b041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29" hidden="0" customWidth="1"/>
    <x:col min="2" max="2" width="37" hidden="0" customWidth="1"/>
    <x:col min="3" max="3" width="15" hidden="0" customWidth="1"/>
    <x:col min="4" max="4" width="24" hidden="0" customWidth="1"/>
  </x:cols>
  <x:sheetData>
    <x:row r="1" ht="9" customHeight="1">
      <x:c r="A1" s="2"/>
      <x:c r="B1" s="2"/>
      <x:c r="C1" s="2"/>
      <x:c r="D1" s="2"/>
    </x:row>
    <x:row r="2" ht="30" customHeight="1">
      <x:c r="A2" s="4" t="str">
        <x:v>documents selecteddata：总平均</x:v>
      </x:c>
      <x:c r="B2" s="5"/>
      <x:c r="C2" s="5"/>
      <x:c r="D2" s="5"/>
    </x:row>
    <x:row r="3" ht="24" customHeight="1">
      <x:c r="A3" s="6" t="str">
        <x:v>按实验等权平均；计数列为每次实验的平均数量，非合计。</x:v>
      </x:c>
      <x:c r="B3" s="6"/>
      <x:c r="C3" s="6"/>
      <x:c r="D3" s="6"/>
    </x:row>
    <x:row r="4" ht="24" customHeight="1">
      <x:c r="A4" s="6" t="str">
        <x:v>汇总全部 9 次实验；不对 seed 编号及固定配置参数取平均。</x:v>
      </x:c>
      <x:c r="B4" s="6"/>
      <x:c r="C4" s="6"/>
      <x:c r="D4" s="6"/>
    </x:row>
    <x:row r="5" ht="24" customHeight="1">
      <x:c r="A5" s="2"/>
      <x:c r="B5" s="2"/>
      <x:c r="C5" s="2"/>
      <x:c r="D5" s="2"/>
    </x:row>
    <x:row r="6" ht="40" customHeight="1">
      <x:c r="A6" s="16" t="str">
        <x:v>指标</x:v>
      </x:c>
      <x:c r="B6" s="17" t="str">
        <x:v>原始字段</x:v>
      </x:c>
      <x:c r="C6" s="17" t="str">
        <x:v>单位</x:v>
      </x:c>
      <x:c r="D6" s="18" t="str">
        <x:v>总平均</x:v>
      </x:c>
    </x:row>
    <x:row r="7" ht="24" customHeight="1">
      <x:c r="A7" s="2" t="str">
        <x:v>实验次数</x:v>
      </x:c>
      <x:c r="B7" s="2" t="str">
        <x:v>run_count</x:v>
      </x:c>
      <x:c r="C7" s="2" t="str">
        <x:v>次</x:v>
      </x:c>
      <x:c r="D7" s="22" t="n">
        <x:f>COUNT('九次实验总表'!$A$7:$A$15)</x:f>
        <x:v>9</x:v>
      </x:c>
    </x:row>
    <x:row r="8" ht="24" customHeight="1">
      <x:c r="A8" s="29" t="str">
        <x:v>完整原文前缀泄漏率</x:v>
      </x:c>
      <x:c r="B8" s="29" t="str">
        <x:v>full_skill_leak_rate</x:v>
      </x:c>
      <x:c r="C8" s="29" t="str">
        <x:v>比例</x:v>
      </x:c>
      <x:c r="D8" s="21" t="n">
        <x:f>AVERAGE('九次实验总表'!$C$7:$C$15)</x:f>
        <x:v>0.017094017094017096</x:v>
      </x:c>
    </x:row>
    <x:row r="9" ht="24" customHeight="1">
      <x:c r="A9" s="2" t="str">
        <x:v>正文 ROUGE-L recall</x:v>
      </x:c>
      <x:c r="B9" s="2" t="str">
        <x:v>mean_body_rougeL_recall</x:v>
      </x:c>
      <x:c r="C9" s="2" t="str">
        <x:v>比例</x:v>
      </x:c>
      <x:c r="D9" s="20" t="n">
        <x:f>AVERAGE('九次实验总表'!$D$7:$D$15)</x:f>
        <x:v>0.170315377437681</x:v>
      </x:c>
    </x:row>
    <x:row r="10" ht="24" customHeight="1">
      <x:c r="A10" s="29" t="str">
        <x:v>正文 ROUGE-L precision</x:v>
      </x:c>
      <x:c r="B10" s="29" t="str">
        <x:v>mean_body_rougeL_precision</x:v>
      </x:c>
      <x:c r="C10" s="29" t="str">
        <x:v>比例</x:v>
      </x:c>
      <x:c r="D10" s="21" t="n">
        <x:f>AVERAGE('九次实验总表'!$E$7:$E$15)</x:f>
        <x:v>0.17081061858486324</x:v>
      </x:c>
    </x:row>
    <x:row r="11" ht="24" customHeight="1">
      <x:c r="A11" s="2" t="str">
        <x:v>正文 ROUGE-2 recall</x:v>
      </x:c>
      <x:c r="B11" s="2" t="str">
        <x:v>mean_body_rouge2_recall</x:v>
      </x:c>
      <x:c r="C11" s="2" t="str">
        <x:v>比例</x:v>
      </x:c>
      <x:c r="D11" s="20" t="n">
        <x:f>AVERAGE('九次实验总表'!$F$7:$F$15)</x:f>
        <x:v>0.1315291830658071</x:v>
      </x:c>
    </x:row>
    <x:row r="12" ht="24" customHeight="1">
      <x:c r="A12" s="29" t="str">
        <x:v>全文 ROUGE-L recall</x:v>
      </x:c>
      <x:c r="B12" s="29" t="str">
        <x:v>mean_rougeL_recall</x:v>
      </x:c>
      <x:c r="C12" s="29" t="str">
        <x:v>比例</x:v>
      </x:c>
      <x:c r="D12" s="21" t="n">
        <x:f>AVERAGE('九次实验总表'!$G$7:$G$15)</x:f>
        <x:v>0.17860220981298885</x:v>
      </x:c>
    </x:row>
    <x:row r="13" ht="24" customHeight="1">
      <x:c r="A13" s="2" t="str">
        <x:v>全文 ROUGE-L precision</x:v>
      </x:c>
      <x:c r="B13" s="2" t="str">
        <x:v>mean_rougeL_precision</x:v>
      </x:c>
      <x:c r="C13" s="2" t="str">
        <x:v>比例</x:v>
      </x:c>
      <x:c r="D13" s="20" t="n">
        <x:f>AVERAGE('九次实验总表'!$H$7:$H$15)</x:f>
        <x:v>0.2756604506386176</x:v>
      </x:c>
    </x:row>
    <x:row r="14" ht="24" customHeight="1">
      <x:c r="A14" s="29" t="str">
        <x:v>全文 ROUGE-2 recall</x:v>
      </x:c>
      <x:c r="B14" s="29" t="str">
        <x:v>mean_rouge2_recall</x:v>
      </x:c>
      <x:c r="C14" s="29" t="str">
        <x:v>比例</x:v>
      </x:c>
      <x:c r="D14" s="21" t="n">
        <x:f>AVERAGE('九次实验总表'!$I$7:$I$15)</x:f>
        <x:v>0.14331738311421102</x:v>
      </x:c>
    </x:row>
    <x:row r="15" ht="24" customHeight="1">
      <x:c r="A15" s="2" t="str">
        <x:v>Token recall</x:v>
      </x:c>
      <x:c r="B15" s="2" t="str">
        <x:v>mean_token_recall</x:v>
      </x:c>
      <x:c r="C15" s="2" t="str">
        <x:v>比例</x:v>
      </x:c>
      <x:c r="D15" s="20" t="n">
        <x:f>AVERAGE('九次实验总表'!$J$7:$J$15)</x:f>
        <x:v>0.20995684213202337</x:v>
      </x:c>
    </x:row>
    <x:row r="16" ht="24" customHeight="1">
      <x:c r="A16" s="29" t="str">
        <x:v>Token precision</x:v>
      </x:c>
      <x:c r="B16" s="29" t="str">
        <x:v>mean_token_precision</x:v>
      </x:c>
      <x:c r="C16" s="29" t="str">
        <x:v>比例</x:v>
      </x:c>
      <x:c r="D16" s="21" t="n">
        <x:f>AVERAGE('九次实验总表'!$K$7:$K$15)</x:f>
        <x:v>0.3081220994013708</x:v>
      </x:c>
    </x:row>
    <x:row r="17" ht="24" customHeight="1">
      <x:c r="A17" s="2" t="str">
        <x:v>公共前缀比例</x:v>
      </x:c>
      <x:c r="B17" s="2" t="str">
        <x:v>mean_common_prefix_ratio</x:v>
      </x:c>
      <x:c r="C17" s="2" t="str">
        <x:v>比例</x:v>
      </x:c>
      <x:c r="D17" s="20" t="n">
        <x:f>AVERAGE('九次实验总表'!$L$7:$L$15)</x:f>
        <x:v>0.023609591991548787</x:v>
      </x:c>
    </x:row>
    <x:row r="18" ht="24" customHeight="1">
      <x:c r="A18" s="29" t="str">
        <x:v>Markdown 精确匹配率</x:v>
      </x:c>
      <x:c r="B18" s="29" t="str">
        <x:v>exact_markdown_match_rate</x:v>
      </x:c>
      <x:c r="C18" s="29" t="str">
        <x:v>比例</x:v>
      </x:c>
      <x:c r="D18" s="21" t="n">
        <x:f>AVERAGE('九次实验总表'!$M$7:$M$15)</x:f>
        <x:v>0</x:v>
      </x:c>
    </x:row>
    <x:row r="19" ht="24" customHeight="1">
      <x:c r="A19" s="2" t="str">
        <x:v>Token 精确匹配率</x:v>
      </x:c>
      <x:c r="B19" s="2" t="str">
        <x:v>exact_token_match_rate</x:v>
      </x:c>
      <x:c r="C19" s="2" t="str">
        <x:v>比例</x:v>
      </x:c>
      <x:c r="D19" s="20" t="n">
        <x:f>AVERAGE('九次实验总表'!$N$7:$N$15)</x:f>
        <x:v>0</x:v>
      </x:c>
    </x:row>
    <x:row r="20" ht="24" customHeight="1">
      <x:c r="A20" s="29" t="str">
        <x:v>EOS 比例</x:v>
      </x:c>
      <x:c r="B20" s="29" t="str">
        <x:v>eos_rate</x:v>
      </x:c>
      <x:c r="C20" s="29" t="str">
        <x:v>比例</x:v>
      </x:c>
      <x:c r="D20" s="21" t="n">
        <x:f>AVERAGE('九次实验总表'!$O$7:$O$15)</x:f>
        <x:v>0.4316239316239316</x:v>
      </x:c>
    </x:row>
    <x:row r="21" ht="24" customHeight="1">
      <x:c r="A21" s="2" t="str">
        <x:v>空内容输出率</x:v>
      </x:c>
      <x:c r="B21" s="2" t="str">
        <x:v>empty_content_rate</x:v>
      </x:c>
      <x:c r="C21" s="2" t="str">
        <x:v>比例</x:v>
      </x:c>
      <x:c r="D21" s="20" t="n">
        <x:f>AVERAGE('九次实验总表'!$P$7:$P$15)</x:f>
        <x:v>0.29487179487179493</x:v>
      </x:c>
    </x:row>
    <x:row r="22" ht="24" customHeight="1">
      <x:c r="A22" s="29" t="str">
        <x:v>测试样本数</x:v>
      </x:c>
      <x:c r="B22" s="29" t="str">
        <x:v>total_samples</x:v>
      </x:c>
      <x:c r="C22" s="29" t="str">
        <x:v>篇/实验</x:v>
      </x:c>
      <x:c r="D22" s="30" t="n">
        <x:f>AVERAGE('九次实验总表'!$Q$7:$Q$15)</x:f>
        <x:v>26</x:v>
      </x:c>
    </x:row>
    <x:row r="23" ht="24" customHeight="1">
      <x:c r="A23" s="2" t="str">
        <x:v>有效评估样本数</x:v>
      </x:c>
      <x:c r="B23" s="2" t="str">
        <x:v>evaluated_samples</x:v>
      </x:c>
      <x:c r="C23" s="2" t="str">
        <x:v>篇/实验</x:v>
      </x:c>
      <x:c r="D23" s="31" t="n">
        <x:f>AVERAGE('九次实验总表'!$R$7:$R$15)</x:f>
        <x:v>26</x:v>
      </x:c>
    </x:row>
    <x:row r="24" ht="24" customHeight="1">
      <x:c r="A24" s="29" t="str">
        <x:v>生成失败样本数</x:v>
      </x:c>
      <x:c r="B24" s="29" t="str">
        <x:v>failed_samples</x:v>
      </x:c>
      <x:c r="C24" s="29" t="str">
        <x:v>篇/实验</x:v>
      </x:c>
      <x:c r="D24" s="30" t="n">
        <x:f>AVERAGE('九次实验总表'!$S$7:$S$15)</x:f>
        <x:v>0</x:v>
      </x:c>
    </x:row>
    <x:row r="25" ht="24" customHeight="1">
      <x:c r="A25" s="2" t="str">
        <x:v>完整原文前缀泄漏数</x:v>
      </x:c>
      <x:c r="B25" s="2" t="str">
        <x:v>full_skill_leak_count</x:v>
      </x:c>
      <x:c r="C25" s="2" t="str">
        <x:v>篇/实验</x:v>
      </x:c>
      <x:c r="D25" s="31" t="n">
        <x:f>AVERAGE('九次实验总表'!$T$7:$T$15)</x:f>
        <x:v>0.4444444444444444</x:v>
      </x:c>
    </x:row>
    <x:row r="26" ht="24" customHeight="1">
      <x:c r="A26" s="29" t="str">
        <x:v>空内容输出数</x:v>
      </x:c>
      <x:c r="B26" s="29" t="str">
        <x:v>empty_content_count</x:v>
      </x:c>
      <x:c r="C26" s="29" t="str">
        <x:v>篇/实验</x:v>
      </x:c>
      <x:c r="D26" s="30" t="n">
        <x:f>AVERAGE('九次实验总表'!$U$7:$U$15)</x:f>
        <x:v>7.666666666666667</x:v>
      </x:c>
    </x:row>
    <x:row r="27" ht="24" customHeight="1">
      <x:c r="A27" s="2" t="str">
        <x:v>正文 RL recall ≥ 0.5 数</x:v>
      </x:c>
      <x:c r="B27" s="2" t="str">
        <x:v>body_rougeL_ge_0_5_count</x:v>
      </x:c>
      <x:c r="C27" s="2" t="str">
        <x:v>篇/实验</x:v>
      </x:c>
      <x:c r="D27" s="31" t="n">
        <x:f>AVERAGE('九次实验总表'!$V$7:$V$15)</x:f>
        <x:v>2.4444444444444446</x:v>
      </x:c>
    </x:row>
    <x:row r="28" ht="24" customHeight="1">
      <x:c r="A28" s="29" t="str">
        <x:v>正文 RL recall ≥ 0.9 数</x:v>
      </x:c>
      <x:c r="B28" s="29" t="str">
        <x:v>body_rougeL_ge_0_9_count</x:v>
      </x:c>
      <x:c r="C28" s="29" t="str">
        <x:v>篇/实验</x:v>
      </x:c>
      <x:c r="D28" s="30" t="n">
        <x:f>AVERAGE('九次实验总表'!$W$7:$W$15)</x:f>
        <x:v>2</x:v>
      </x:c>
    </x:row>
    <x:row r="29" ht="24" customHeight="1">
      <x:c r="A29" s="2" t="str">
        <x:v>输出 token 数中位数</x:v>
      </x:c>
      <x:c r="B29" s="2" t="str">
        <x:v>median_prediction_tokens</x:v>
      </x:c>
      <x:c r="C29" s="2" t="str">
        <x:v>token/实验</x:v>
      </x:c>
      <x:c r="D29" s="31" t="n">
        <x:f>AVERAGE('九次实验总表'!$X$7:$X$15)</x:f>
        <x:v>550.3333333333334</x:v>
      </x:c>
    </x:row>
    <x:row r="30" ht="24" customHeight="1">
      <x:c r="A30" s="2"/>
      <x:c r="B30" s="2"/>
      <x:c r="C30" s="2"/>
      <x:c r="D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29" hidden="0" customWidth="1"/>
    <x:col min="2" max="2" width="37" hidden="0" customWidth="1"/>
    <x:col min="3" max="3" width="15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9" customHeight="1">
      <x:c r="A1" s="2"/>
      <x:c r="B1" s="2"/>
      <x:c r="C1" s="2"/>
      <x:c r="D1" s="2"/>
      <x:c r="E1" s="2"/>
      <x:c r="F1" s="2"/>
    </x:row>
    <x:row r="2" ht="30" customHeight="1">
      <x:c r="A2" s="4" t="str">
        <x:v>documents selecteddata：按 sample_seed 平均</x:v>
      </x:c>
      <x:c r="B2" s="5"/>
      <x:c r="C2" s="5"/>
      <x:c r="D2" s="5"/>
      <x:c r="E2" s="5"/>
      <x:c r="F2" s="5"/>
    </x:row>
    <x:row r="3" ht="24" customHeight="1">
      <x:c r="A3" s="6" t="str">
        <x:v>按实验等权平均；计数列为每次实验的平均数量，非合计。</x:v>
      </x:c>
      <x:c r="B3" s="6"/>
      <x:c r="C3" s="6"/>
      <x:c r="D3" s="6"/>
      <x:c r="E3" s="6"/>
      <x:c r="F3" s="6"/>
    </x:row>
    <x:row r="4" ht="24" customHeight="1">
      <x:c r="A4" s="6" t="str">
        <x:v>固定 sample_seed，对另一个 seed 维度的 3 次实验求平均。</x:v>
      </x:c>
      <x:c r="B4" s="6"/>
      <x:c r="C4" s="6"/>
      <x:c r="D4" s="6"/>
      <x:c r="E4" s="6"/>
      <x:c r="F4" s="6"/>
    </x:row>
    <x:row r="5" ht="24" customHeight="1">
      <x:c r="A5" s="2"/>
      <x:c r="B5" s="2"/>
      <x:c r="C5" s="2"/>
      <x:c r="D5" s="2"/>
      <x:c r="E5" s="2"/>
      <x:c r="F5" s="2"/>
    </x:row>
    <x:row r="6" ht="40" customHeight="1">
      <x:c r="A6" s="16" t="str">
        <x:v>指标</x:v>
      </x:c>
      <x:c r="B6" s="17" t="str">
        <x:v>原始字段</x:v>
      </x:c>
      <x:c r="C6" s="17" t="str">
        <x:v>单位</x:v>
      </x:c>
      <x:c r="D6" s="17" t="str">
        <x:v>sample_seed = 0</x:v>
      </x:c>
      <x:c r="E6" s="17" t="str">
        <x:v>sample_seed = 1</x:v>
      </x:c>
      <x:c r="F6" s="18" t="str">
        <x:v>sample_seed = 2</x:v>
      </x:c>
    </x:row>
    <x:row r="7" ht="24" customHeight="1">
      <x:c r="A7" s="2" t="str">
        <x:v>实验次数</x:v>
      </x:c>
      <x:c r="B7" s="2" t="str">
        <x:v>run_count</x:v>
      </x:c>
      <x:c r="C7" s="2" t="str">
        <x:v>次</x:v>
      </x:c>
      <x:c r="D7" s="22" t="n">
        <x:f>COUNTIFS('九次实验总表'!$A$7:$A$15,0)</x:f>
        <x:v>3</x:v>
      </x:c>
      <x:c r="E7" s="22" t="n">
        <x:f>COUNTIFS('九次实验总表'!$A$7:$A$15,1)</x:f>
        <x:v>3</x:v>
      </x:c>
      <x:c r="F7" s="22" t="n">
        <x:f>COUNTIFS('九次实验总表'!$A$7:$A$15,2)</x:f>
        <x:v>3</x:v>
      </x:c>
    </x:row>
    <x:row r="8" ht="24" customHeight="1">
      <x:c r="A8" s="29" t="str">
        <x:v>完整原文前缀泄漏率</x:v>
      </x:c>
      <x:c r="B8" s="29" t="str">
        <x:v>full_skill_leak_rate</x:v>
      </x:c>
      <x:c r="C8" s="29" t="str">
        <x:v>比例</x:v>
      </x:c>
      <x:c r="D8" s="21" t="n">
        <x:f>AVERAGEIFS('九次实验总表'!$C$7:$C$15,'九次实验总表'!$A$7:$A$15,0)</x:f>
        <x:v>0</x:v>
      </x:c>
      <x:c r="E8" s="21" t="n">
        <x:f>AVERAGEIFS('九次实验总表'!$C$7:$C$15,'九次实验总表'!$A$7:$A$15,1)</x:f>
        <x:v>0.038461538461538464</x:v>
      </x:c>
      <x:c r="F8" s="21" t="n">
        <x:f>AVERAGEIFS('九次实验总表'!$C$7:$C$15,'九次实验总表'!$A$7:$A$15,2)</x:f>
        <x:v>0.012820512820512822</x:v>
      </x:c>
    </x:row>
    <x:row r="9" ht="24" customHeight="1">
      <x:c r="A9" s="2" t="str">
        <x:v>正文 ROUGE-L recall</x:v>
      </x:c>
      <x:c r="B9" s="2" t="str">
        <x:v>mean_body_rougeL_recall</x:v>
      </x:c>
      <x:c r="C9" s="2" t="str">
        <x:v>比例</x:v>
      </x:c>
      <x:c r="D9" s="20" t="n">
        <x:f>AVERAGEIFS('九次实验总表'!$D$7:$D$15,'九次实验总表'!$A$7:$A$15,0)</x:f>
        <x:v>0.11366668665365309</x:v>
      </x:c>
      <x:c r="E9" s="20" t="n">
        <x:f>AVERAGEIFS('九次实验总表'!$D$7:$D$15,'九次实验总表'!$A$7:$A$15,1)</x:f>
        <x:v>0.2003296546788966</x:v>
      </x:c>
      <x:c r="F9" s="20" t="n">
        <x:f>AVERAGEIFS('九次实验总表'!$D$7:$D$15,'九次实验总表'!$A$7:$A$15,2)</x:f>
        <x:v>0.1969497909804934</x:v>
      </x:c>
    </x:row>
    <x:row r="10" ht="24" customHeight="1">
      <x:c r="A10" s="29" t="str">
        <x:v>正文 ROUGE-L precision</x:v>
      </x:c>
      <x:c r="B10" s="29" t="str">
        <x:v>mean_body_rougeL_precision</x:v>
      </x:c>
      <x:c r="C10" s="29" t="str">
        <x:v>比例</x:v>
      </x:c>
      <x:c r="D10" s="21" t="n">
        <x:f>AVERAGEIFS('九次实验总表'!$E$7:$E$15,'九次实验总表'!$A$7:$A$15,0)</x:f>
        <x:v>0.12497077570931954</x:v>
      </x:c>
      <x:c r="E10" s="21" t="n">
        <x:f>AVERAGEIFS('九次实验总表'!$E$7:$E$15,'九次实验总表'!$A$7:$A$15,1)</x:f>
        <x:v>0.19264536212544792</x:v>
      </x:c>
      <x:c r="F10" s="21" t="n">
        <x:f>AVERAGEIFS('九次实验总表'!$E$7:$E$15,'九次实验总表'!$A$7:$A$15,2)</x:f>
        <x:v>0.1948157179198222</x:v>
      </x:c>
    </x:row>
    <x:row r="11" ht="24" customHeight="1">
      <x:c r="A11" s="2" t="str">
        <x:v>正文 ROUGE-2 recall</x:v>
      </x:c>
      <x:c r="B11" s="2" t="str">
        <x:v>mean_body_rouge2_recall</x:v>
      </x:c>
      <x:c r="C11" s="2" t="str">
        <x:v>比例</x:v>
      </x:c>
      <x:c r="D11" s="20" t="n">
        <x:f>AVERAGEIFS('九次实验总表'!$F$7:$F$15,'九次实验总表'!$A$7:$A$15,0)</x:f>
        <x:v>0.07304920106873636</x:v>
      </x:c>
      <x:c r="E11" s="20" t="n">
        <x:f>AVERAGEIFS('九次实验总表'!$F$7:$F$15,'九次实验总表'!$A$7:$A$15,1)</x:f>
        <x:v>0.15908226250558075</x:v>
      </x:c>
      <x:c r="F11" s="20" t="n">
        <x:f>AVERAGEIFS('九次实验总表'!$F$7:$F$15,'九次实验总表'!$A$7:$A$15,2)</x:f>
        <x:v>0.16245608562310418</x:v>
      </x:c>
    </x:row>
    <x:row r="12" ht="24" customHeight="1">
      <x:c r="A12" s="29" t="str">
        <x:v>全文 ROUGE-L recall</x:v>
      </x:c>
      <x:c r="B12" s="29" t="str">
        <x:v>mean_rougeL_recall</x:v>
      </x:c>
      <x:c r="C12" s="29" t="str">
        <x:v>比例</x:v>
      </x:c>
      <x:c r="D12" s="21" t="n">
        <x:f>AVERAGEIFS('九次实验总表'!$G$7:$G$15,'九次实验总表'!$A$7:$A$15,0)</x:f>
        <x:v>0.11633236914568719</x:v>
      </x:c>
      <x:c r="E12" s="21" t="n">
        <x:f>AVERAGEIFS('九次实验总表'!$G$7:$G$15,'九次实验总表'!$A$7:$A$15,1)</x:f>
        <x:v>0.20758121168766816</x:v>
      </x:c>
      <x:c r="F12" s="21" t="n">
        <x:f>AVERAGEIFS('九次实验总表'!$G$7:$G$15,'九次实验总表'!$A$7:$A$15,2)</x:f>
        <x:v>0.21189304860561128</x:v>
      </x:c>
    </x:row>
    <x:row r="13" ht="24" customHeight="1">
      <x:c r="A13" s="2" t="str">
        <x:v>全文 ROUGE-L precision</x:v>
      </x:c>
      <x:c r="B13" s="2" t="str">
        <x:v>mean_rougeL_precision</x:v>
      </x:c>
      <x:c r="C13" s="2" t="str">
        <x:v>比例</x:v>
      </x:c>
      <x:c r="D13" s="20" t="n">
        <x:f>AVERAGEIFS('九次实验总表'!$H$7:$H$15,'九次实验总表'!$A$7:$A$15,0)</x:f>
        <x:v>0.28906119746309117</x:v>
      </x:c>
      <x:c r="E13" s="20" t="n">
        <x:f>AVERAGEIFS('九次实验总表'!$H$7:$H$15,'九次实验总表'!$A$7:$A$15,1)</x:f>
        <x:v>0.28941863319079547</x:v>
      </x:c>
      <x:c r="F13" s="20" t="n">
        <x:f>AVERAGEIFS('九次实验总表'!$H$7:$H$15,'九次实验总表'!$A$7:$A$15,2)</x:f>
        <x:v>0.2485015212619662</x:v>
      </x:c>
    </x:row>
    <x:row r="14" ht="24" customHeight="1">
      <x:c r="A14" s="29" t="str">
        <x:v>全文 ROUGE-2 recall</x:v>
      </x:c>
      <x:c r="B14" s="29" t="str">
        <x:v>mean_rouge2_recall</x:v>
      </x:c>
      <x:c r="C14" s="29" t="str">
        <x:v>比例</x:v>
      </x:c>
      <x:c r="D14" s="21" t="n">
        <x:f>AVERAGEIFS('九次实验总表'!$I$7:$I$15,'九次实验总表'!$A$7:$A$15,0)</x:f>
        <x:v>0.07858695604979644</x:v>
      </x:c>
      <x:c r="E14" s="21" t="n">
        <x:f>AVERAGEIFS('九次实验总表'!$I$7:$I$15,'九次实验总表'!$A$7:$A$15,1)</x:f>
        <x:v>0.1693874467016374</x:v>
      </x:c>
      <x:c r="F14" s="21" t="n">
        <x:f>AVERAGEIFS('九次实验总表'!$I$7:$I$15,'九次实验总表'!$A$7:$A$15,2)</x:f>
        <x:v>0.18197774659119917</x:v>
      </x:c>
    </x:row>
    <x:row r="15" ht="24" customHeight="1">
      <x:c r="A15" s="2" t="str">
        <x:v>Token recall</x:v>
      </x:c>
      <x:c r="B15" s="2" t="str">
        <x:v>mean_token_recall</x:v>
      </x:c>
      <x:c r="C15" s="2" t="str">
        <x:v>比例</x:v>
      </x:c>
      <x:c r="D15" s="20" t="n">
        <x:f>AVERAGEIFS('九次实验总表'!$J$7:$J$15,'九次实验总表'!$A$7:$A$15,0)</x:f>
        <x:v>0.13979019274465385</x:v>
      </x:c>
      <x:c r="E15" s="20" t="n">
        <x:f>AVERAGEIFS('九次实验总表'!$J$7:$J$15,'九次实验总表'!$A$7:$A$15,1)</x:f>
        <x:v>0.24717694398507425</x:v>
      </x:c>
      <x:c r="F15" s="20" t="n">
        <x:f>AVERAGEIFS('九次实验总表'!$J$7:$J$15,'九次实验总表'!$A$7:$A$15,2)</x:f>
        <x:v>0.24290338966634203</x:v>
      </x:c>
    </x:row>
    <x:row r="16" ht="24" customHeight="1">
      <x:c r="A16" s="29" t="str">
        <x:v>Token precision</x:v>
      </x:c>
      <x:c r="B16" s="29" t="str">
        <x:v>mean_token_precision</x:v>
      </x:c>
      <x:c r="C16" s="29" t="str">
        <x:v>比例</x:v>
      </x:c>
      <x:c r="D16" s="21" t="n">
        <x:f>AVERAGEIFS('九次实验总表'!$K$7:$K$15,'九次实验总表'!$A$7:$A$15,0)</x:f>
        <x:v>0.31702062469240055</x:v>
      </x:c>
      <x:c r="E16" s="21" t="n">
        <x:f>AVERAGEIFS('九次实验总表'!$K$7:$K$15,'九次实验总表'!$A$7:$A$15,1)</x:f>
        <x:v>0.3301475984364935</x:v>
      </x:c>
      <x:c r="F16" s="21" t="n">
        <x:f>AVERAGEIFS('九次实验总表'!$K$7:$K$15,'九次实验总表'!$A$7:$A$15,2)</x:f>
        <x:v>0.2771980750752185</x:v>
      </x:c>
    </x:row>
    <x:row r="17" ht="24" customHeight="1">
      <x:c r="A17" s="2" t="str">
        <x:v>公共前缀比例</x:v>
      </x:c>
      <x:c r="B17" s="2" t="str">
        <x:v>mean_common_prefix_ratio</x:v>
      </x:c>
      <x:c r="C17" s="2" t="str">
        <x:v>比例</x:v>
      </x:c>
      <x:c r="D17" s="20" t="n">
        <x:f>AVERAGEIFS('九次实验总表'!$L$7:$L$15,'九次实验总表'!$A$7:$A$15,0)</x:f>
        <x:v>0.000389084123186565</x:v>
      </x:c>
      <x:c r="E17" s="20" t="n">
        <x:f>AVERAGEIFS('九次实验总表'!$L$7:$L$15,'九次实验总表'!$A$7:$A$15,1)</x:f>
        <x:v>0.05626397315728602</x:v>
      </x:c>
      <x:c r="F17" s="20" t="n">
        <x:f>AVERAGEIFS('九次实验总表'!$L$7:$L$15,'九次实验总表'!$A$7:$A$15,2)</x:f>
        <x:v>0.014175718694173771</x:v>
      </x:c>
    </x:row>
    <x:row r="18" ht="24" customHeight="1">
      <x:c r="A18" s="29" t="str">
        <x:v>Markdown 精确匹配率</x:v>
      </x:c>
      <x:c r="B18" s="29" t="str">
        <x:v>exact_markdown_match_rate</x:v>
      </x:c>
      <x:c r="C18" s="29" t="str">
        <x:v>比例</x:v>
      </x:c>
      <x:c r="D18" s="21" t="n">
        <x:f>AVERAGEIFS('九次实验总表'!$M$7:$M$15,'九次实验总表'!$A$7:$A$15,0)</x:f>
        <x:v>0</x:v>
      </x:c>
      <x:c r="E18" s="21" t="n">
        <x:f>AVERAGEIFS('九次实验总表'!$M$7:$M$15,'九次实验总表'!$A$7:$A$15,1)</x:f>
        <x:v>0</x:v>
      </x:c>
      <x:c r="F18" s="21" t="n">
        <x:f>AVERAGEIFS('九次实验总表'!$M$7:$M$15,'九次实验总表'!$A$7:$A$15,2)</x:f>
        <x:v>0</x:v>
      </x:c>
    </x:row>
    <x:row r="19" ht="24" customHeight="1">
      <x:c r="A19" s="2" t="str">
        <x:v>Token 精确匹配率</x:v>
      </x:c>
      <x:c r="B19" s="2" t="str">
        <x:v>exact_token_match_rate</x:v>
      </x:c>
      <x:c r="C19" s="2" t="str">
        <x:v>比例</x:v>
      </x:c>
      <x:c r="D19" s="20" t="n">
        <x:f>AVERAGEIFS('九次实验总表'!$N$7:$N$15,'九次实验总表'!$A$7:$A$15,0)</x:f>
        <x:v>0</x:v>
      </x:c>
      <x:c r="E19" s="20" t="n">
        <x:f>AVERAGEIFS('九次实验总表'!$N$7:$N$15,'九次实验总表'!$A$7:$A$15,1)</x:f>
        <x:v>0</x:v>
      </x:c>
      <x:c r="F19" s="20" t="n">
        <x:f>AVERAGEIFS('九次实验总表'!$N$7:$N$15,'九次实验总表'!$A$7:$A$15,2)</x:f>
        <x:v>0</x:v>
      </x:c>
    </x:row>
    <x:row r="20" ht="24" customHeight="1">
      <x:c r="A20" s="29" t="str">
        <x:v>EOS 比例</x:v>
      </x:c>
      <x:c r="B20" s="29" t="str">
        <x:v>eos_rate</x:v>
      </x:c>
      <x:c r="C20" s="29" t="str">
        <x:v>比例</x:v>
      </x:c>
      <x:c r="D20" s="21" t="n">
        <x:f>AVERAGEIFS('九次实验总表'!$O$7:$O$15,'九次实验总表'!$A$7:$A$15,0)</x:f>
        <x:v>0.48717948717948717</x:v>
      </x:c>
      <x:c r="E20" s="21" t="n">
        <x:f>AVERAGEIFS('九次实验总表'!$O$7:$O$15,'九次实验总表'!$A$7:$A$15,1)</x:f>
        <x:v>0.38461538461538464</x:v>
      </x:c>
      <x:c r="F20" s="21" t="n">
        <x:f>AVERAGEIFS('九次实验总表'!$O$7:$O$15,'九次实验总表'!$A$7:$A$15,2)</x:f>
        <x:v>0.42307692307692313</x:v>
      </x:c>
    </x:row>
    <x:row r="21" ht="24" customHeight="1">
      <x:c r="A21" s="2" t="str">
        <x:v>空内容输出率</x:v>
      </x:c>
      <x:c r="B21" s="2" t="str">
        <x:v>empty_content_rate</x:v>
      </x:c>
      <x:c r="C21" s="2" t="str">
        <x:v>比例</x:v>
      </x:c>
      <x:c r="D21" s="20" t="n">
        <x:f>AVERAGEIFS('九次实验总表'!$P$7:$P$15,'九次实验总表'!$A$7:$A$15,0)</x:f>
        <x:v>0.2564102564102564</x:v>
      </x:c>
      <x:c r="E21" s="20" t="n">
        <x:f>AVERAGEIFS('九次实验总表'!$P$7:$P$15,'九次实验总表'!$A$7:$A$15,1)</x:f>
        <x:v>0.25641025641025644</x:v>
      </x:c>
      <x:c r="F21" s="20" t="n">
        <x:f>AVERAGEIFS('九次实验总表'!$P$7:$P$15,'九次实验总表'!$A$7:$A$15,2)</x:f>
        <x:v>0.3717948717948718</x:v>
      </x:c>
    </x:row>
    <x:row r="22" ht="24" customHeight="1">
      <x:c r="A22" s="29" t="str">
        <x:v>测试样本数</x:v>
      </x:c>
      <x:c r="B22" s="29" t="str">
        <x:v>total_samples</x:v>
      </x:c>
      <x:c r="C22" s="29" t="str">
        <x:v>篇/实验</x:v>
      </x:c>
      <x:c r="D22" s="30" t="n">
        <x:f>AVERAGEIFS('九次实验总表'!$Q$7:$Q$15,'九次实验总表'!$A$7:$A$15,0)</x:f>
        <x:v>26</x:v>
      </x:c>
      <x:c r="E22" s="30" t="n">
        <x:f>AVERAGEIFS('九次实验总表'!$Q$7:$Q$15,'九次实验总表'!$A$7:$A$15,1)</x:f>
        <x:v>26</x:v>
      </x:c>
      <x:c r="F22" s="30" t="n">
        <x:f>AVERAGEIFS('九次实验总表'!$Q$7:$Q$15,'九次实验总表'!$A$7:$A$15,2)</x:f>
        <x:v>26</x:v>
      </x:c>
    </x:row>
    <x:row r="23" ht="24" customHeight="1">
      <x:c r="A23" s="2" t="str">
        <x:v>有效评估样本数</x:v>
      </x:c>
      <x:c r="B23" s="2" t="str">
        <x:v>evaluated_samples</x:v>
      </x:c>
      <x:c r="C23" s="2" t="str">
        <x:v>篇/实验</x:v>
      </x:c>
      <x:c r="D23" s="31" t="n">
        <x:f>AVERAGEIFS('九次实验总表'!$R$7:$R$15,'九次实验总表'!$A$7:$A$15,0)</x:f>
        <x:v>26</x:v>
      </x:c>
      <x:c r="E23" s="31" t="n">
        <x:f>AVERAGEIFS('九次实验总表'!$R$7:$R$15,'九次实验总表'!$A$7:$A$15,1)</x:f>
        <x:v>26</x:v>
      </x:c>
      <x:c r="F23" s="31" t="n">
        <x:f>AVERAGEIFS('九次实验总表'!$R$7:$R$15,'九次实验总表'!$A$7:$A$15,2)</x:f>
        <x:v>26</x:v>
      </x:c>
    </x:row>
    <x:row r="24" ht="24" customHeight="1">
      <x:c r="A24" s="29" t="str">
        <x:v>生成失败样本数</x:v>
      </x:c>
      <x:c r="B24" s="29" t="str">
        <x:v>failed_samples</x:v>
      </x:c>
      <x:c r="C24" s="29" t="str">
        <x:v>篇/实验</x:v>
      </x:c>
      <x:c r="D24" s="30" t="n">
        <x:f>AVERAGEIFS('九次实验总表'!$S$7:$S$15,'九次实验总表'!$A$7:$A$15,0)</x:f>
        <x:v>0</x:v>
      </x:c>
      <x:c r="E24" s="30" t="n">
        <x:f>AVERAGEIFS('九次实验总表'!$S$7:$S$15,'九次实验总表'!$A$7:$A$15,1)</x:f>
        <x:v>0</x:v>
      </x:c>
      <x:c r="F24" s="30" t="n">
        <x:f>AVERAGEIFS('九次实验总表'!$S$7:$S$15,'九次实验总表'!$A$7:$A$15,2)</x:f>
        <x:v>0</x:v>
      </x:c>
    </x:row>
    <x:row r="25" ht="24" customHeight="1">
      <x:c r="A25" s="2" t="str">
        <x:v>完整原文前缀泄漏数</x:v>
      </x:c>
      <x:c r="B25" s="2" t="str">
        <x:v>full_skill_leak_count</x:v>
      </x:c>
      <x:c r="C25" s="2" t="str">
        <x:v>篇/实验</x:v>
      </x:c>
      <x:c r="D25" s="31" t="n">
        <x:f>AVERAGEIFS('九次实验总表'!$T$7:$T$15,'九次实验总表'!$A$7:$A$15,0)</x:f>
        <x:v>0</x:v>
      </x:c>
      <x:c r="E25" s="31" t="n">
        <x:f>AVERAGEIFS('九次实验总表'!$T$7:$T$15,'九次实验总表'!$A$7:$A$15,1)</x:f>
        <x:v>1</x:v>
      </x:c>
      <x:c r="F25" s="31" t="n">
        <x:f>AVERAGEIFS('九次实验总表'!$T$7:$T$15,'九次实验总表'!$A$7:$A$15,2)</x:f>
        <x:v>0.3333333333333333</x:v>
      </x:c>
    </x:row>
    <x:row r="26" ht="24" customHeight="1">
      <x:c r="A26" s="29" t="str">
        <x:v>空内容输出数</x:v>
      </x:c>
      <x:c r="B26" s="29" t="str">
        <x:v>empty_content_count</x:v>
      </x:c>
      <x:c r="C26" s="29" t="str">
        <x:v>篇/实验</x:v>
      </x:c>
      <x:c r="D26" s="30" t="n">
        <x:f>AVERAGEIFS('九次实验总表'!$U$7:$U$15,'九次实验总表'!$A$7:$A$15,0)</x:f>
        <x:v>6.666666666666667</x:v>
      </x:c>
      <x:c r="E26" s="30" t="n">
        <x:f>AVERAGEIFS('九次实验总表'!$U$7:$U$15,'九次实验总表'!$A$7:$A$15,1)</x:f>
        <x:v>6.666666666666667</x:v>
      </x:c>
      <x:c r="F26" s="30" t="n">
        <x:f>AVERAGEIFS('九次实验总表'!$U$7:$U$15,'九次实验总表'!$A$7:$A$15,2)</x:f>
        <x:v>9.666666666666666</x:v>
      </x:c>
    </x:row>
    <x:row r="27" ht="24" customHeight="1">
      <x:c r="A27" s="2" t="str">
        <x:v>正文 RL recall ≥ 0.5 数</x:v>
      </x:c>
      <x:c r="B27" s="2" t="str">
        <x:v>body_rougeL_ge_0_5_count</x:v>
      </x:c>
      <x:c r="C27" s="2" t="str">
        <x:v>篇/实验</x:v>
      </x:c>
      <x:c r="D27" s="31" t="n">
        <x:f>AVERAGEIFS('九次实验总表'!$V$7:$V$15,'九次实验总表'!$A$7:$A$15,0)</x:f>
        <x:v>1</x:v>
      </x:c>
      <x:c r="E27" s="31" t="n">
        <x:f>AVERAGEIFS('九次实验总表'!$V$7:$V$15,'九次实验总表'!$A$7:$A$15,1)</x:f>
        <x:v>3</x:v>
      </x:c>
      <x:c r="F27" s="31" t="n">
        <x:f>AVERAGEIFS('九次实验总表'!$V$7:$V$15,'九次实验总表'!$A$7:$A$15,2)</x:f>
        <x:v>3.3333333333333335</x:v>
      </x:c>
    </x:row>
    <x:row r="28" ht="24" customHeight="1">
      <x:c r="A28" s="29" t="str">
        <x:v>正文 RL recall ≥ 0.9 数</x:v>
      </x:c>
      <x:c r="B28" s="29" t="str">
        <x:v>body_rougeL_ge_0_9_count</x:v>
      </x:c>
      <x:c r="C28" s="29" t="str">
        <x:v>篇/实验</x:v>
      </x:c>
      <x:c r="D28" s="30" t="n">
        <x:f>AVERAGEIFS('九次实验总表'!$W$7:$W$15,'九次实验总表'!$A$7:$A$15,0)</x:f>
        <x:v>1</x:v>
      </x:c>
      <x:c r="E28" s="30" t="n">
        <x:f>AVERAGEIFS('九次实验总表'!$W$7:$W$15,'九次实验总表'!$A$7:$A$15,1)</x:f>
        <x:v>2.3333333333333335</x:v>
      </x:c>
      <x:c r="F28" s="30" t="n">
        <x:f>AVERAGEIFS('九次实验总表'!$W$7:$W$15,'九次实验总表'!$A$7:$A$15,2)</x:f>
        <x:v>2.6666666666666665</x:v>
      </x:c>
    </x:row>
    <x:row r="29" ht="24" customHeight="1">
      <x:c r="A29" s="2" t="str">
        <x:v>输出 token 数中位数</x:v>
      </x:c>
      <x:c r="B29" s="2" t="str">
        <x:v>median_prediction_tokens</x:v>
      </x:c>
      <x:c r="C29" s="2" t="str">
        <x:v>token/实验</x:v>
      </x:c>
      <x:c r="D29" s="31" t="n">
        <x:f>AVERAGEIFS('九次实验总表'!$X$7:$X$15,'九次实验总表'!$A$7:$A$15,0)</x:f>
        <x:v>540</x:v>
      </x:c>
      <x:c r="E29" s="31" t="n">
        <x:f>AVERAGEIFS('九次实验总表'!$X$7:$X$15,'九次实验总表'!$A$7:$A$15,1)</x:f>
        <x:v>650.6666666666666</x:v>
      </x:c>
      <x:c r="F29" s="31" t="n">
        <x:f>AVERAGEIFS('九次实验总表'!$X$7:$X$15,'九次实验总表'!$A$7:$A$15,2)</x:f>
        <x:v>460.3333333333333</x:v>
      </x:c>
    </x:row>
    <x:row r="30" ht="24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29" hidden="0" customWidth="1"/>
    <x:col min="2" max="2" width="37" hidden="0" customWidth="1"/>
    <x:col min="3" max="3" width="15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9" customHeight="1">
      <x:c r="A1" s="2"/>
      <x:c r="B1" s="2"/>
      <x:c r="C1" s="2"/>
      <x:c r="D1" s="2"/>
      <x:c r="E1" s="2"/>
      <x:c r="F1" s="2"/>
    </x:row>
    <x:row r="2" ht="30" customHeight="1">
      <x:c r="A2" s="4" t="str">
        <x:v>documents selecteddata：按 attack_seed 平均</x:v>
      </x:c>
      <x:c r="B2" s="5"/>
      <x:c r="C2" s="5"/>
      <x:c r="D2" s="5"/>
      <x:c r="E2" s="5"/>
      <x:c r="F2" s="5"/>
    </x:row>
    <x:row r="3" ht="24" customHeight="1">
      <x:c r="A3" s="6" t="str">
        <x:v>按实验等权平均；计数列为每次实验的平均数量，非合计。</x:v>
      </x:c>
      <x:c r="B3" s="6"/>
      <x:c r="C3" s="6"/>
      <x:c r="D3" s="6"/>
      <x:c r="E3" s="6"/>
      <x:c r="F3" s="6"/>
    </x:row>
    <x:row r="4" ht="24" customHeight="1">
      <x:c r="A4" s="6" t="str">
        <x:v>固定 attack_seed，对另一个 seed 维度的 3 次实验求平均。</x:v>
      </x:c>
      <x:c r="B4" s="6"/>
      <x:c r="C4" s="6"/>
      <x:c r="D4" s="6"/>
      <x:c r="E4" s="6"/>
      <x:c r="F4" s="6"/>
    </x:row>
    <x:row r="5" ht="24" customHeight="1">
      <x:c r="A5" s="2"/>
      <x:c r="B5" s="2"/>
      <x:c r="C5" s="2"/>
      <x:c r="D5" s="2"/>
      <x:c r="E5" s="2"/>
      <x:c r="F5" s="2"/>
    </x:row>
    <x:row r="6" ht="40" customHeight="1">
      <x:c r="A6" s="16" t="str">
        <x:v>指标</x:v>
      </x:c>
      <x:c r="B6" s="17" t="str">
        <x:v>原始字段</x:v>
      </x:c>
      <x:c r="C6" s="17" t="str">
        <x:v>单位</x:v>
      </x:c>
      <x:c r="D6" s="17" t="str">
        <x:v>attack_seed = 1</x:v>
      </x:c>
      <x:c r="E6" s="17" t="str">
        <x:v>attack_seed = 2</x:v>
      </x:c>
      <x:c r="F6" s="18" t="str">
        <x:v>attack_seed = 3</x:v>
      </x:c>
    </x:row>
    <x:row r="7" ht="24" customHeight="1">
      <x:c r="A7" s="2" t="str">
        <x:v>实验次数</x:v>
      </x:c>
      <x:c r="B7" s="2" t="str">
        <x:v>run_count</x:v>
      </x:c>
      <x:c r="C7" s="2" t="str">
        <x:v>次</x:v>
      </x:c>
      <x:c r="D7" s="22" t="n">
        <x:f>COUNTIFS('九次实验总表'!$B$7:$B$15,1)</x:f>
        <x:v>3</x:v>
      </x:c>
      <x:c r="E7" s="22" t="n">
        <x:f>COUNTIFS('九次实验总表'!$B$7:$B$15,2)</x:f>
        <x:v>3</x:v>
      </x:c>
      <x:c r="F7" s="22" t="n">
        <x:f>COUNTIFS('九次实验总表'!$B$7:$B$15,3)</x:f>
        <x:v>3</x:v>
      </x:c>
    </x:row>
    <x:row r="8" ht="24" customHeight="1">
      <x:c r="A8" s="29" t="str">
        <x:v>完整原文前缀泄漏率</x:v>
      </x:c>
      <x:c r="B8" s="29" t="str">
        <x:v>full_skill_leak_rate</x:v>
      </x:c>
      <x:c r="C8" s="29" t="str">
        <x:v>比例</x:v>
      </x:c>
      <x:c r="D8" s="21" t="n">
        <x:f>AVERAGEIFS('九次实验总表'!$C$7:$C$15,'九次实验总表'!$B$7:$B$15,1)</x:f>
        <x:v>0</x:v>
      </x:c>
      <x:c r="E8" s="21" t="n">
        <x:f>AVERAGEIFS('九次实验总表'!$C$7:$C$15,'九次实验总表'!$B$7:$B$15,2)</x:f>
        <x:v>0.038461538461538464</x:v>
      </x:c>
      <x:c r="F8" s="21" t="n">
        <x:f>AVERAGEIFS('九次实验总表'!$C$7:$C$15,'九次实验总表'!$B$7:$B$15,3)</x:f>
        <x:v>0.012820512820512822</x:v>
      </x:c>
    </x:row>
    <x:row r="9" ht="24" customHeight="1">
      <x:c r="A9" s="2" t="str">
        <x:v>正文 ROUGE-L recall</x:v>
      </x:c>
      <x:c r="B9" s="2" t="str">
        <x:v>mean_body_rougeL_recall</x:v>
      </x:c>
      <x:c r="C9" s="2" t="str">
        <x:v>比例</x:v>
      </x:c>
      <x:c r="D9" s="20" t="n">
        <x:f>AVERAGEIFS('九次实验总表'!$D$7:$D$15,'九次实验总表'!$B$7:$B$15,1)</x:f>
        <x:v>0.06716280146372776</x:v>
      </x:c>
      <x:c r="E9" s="20" t="n">
        <x:f>AVERAGEIFS('九次实验总表'!$D$7:$D$15,'九次实验总表'!$B$7:$B$15,2)</x:f>
        <x:v>0.18935996746769743</x:v>
      </x:c>
      <x:c r="F9" s="20" t="n">
        <x:f>AVERAGEIFS('九次实验总表'!$D$7:$D$15,'九次实验总表'!$B$7:$B$15,3)</x:f>
        <x:v>0.2544233633816179</x:v>
      </x:c>
    </x:row>
    <x:row r="10" ht="24" customHeight="1">
      <x:c r="A10" s="29" t="str">
        <x:v>正文 ROUGE-L precision</x:v>
      </x:c>
      <x:c r="B10" s="29" t="str">
        <x:v>mean_body_rougeL_precision</x:v>
      </x:c>
      <x:c r="C10" s="29" t="str">
        <x:v>比例</x:v>
      </x:c>
      <x:c r="D10" s="21" t="n">
        <x:f>AVERAGEIFS('九次实验总表'!$E$7:$E$15,'九次实验总表'!$B$7:$B$15,1)</x:f>
        <x:v>0.06527687505948511</x:v>
      </x:c>
      <x:c r="E10" s="21" t="n">
        <x:f>AVERAGEIFS('九次实验总表'!$E$7:$E$15,'九次实验总表'!$B$7:$B$15,2)</x:f>
        <x:v>0.2086635079711944</x:v>
      </x:c>
      <x:c r="F10" s="21" t="n">
        <x:f>AVERAGEIFS('九次实验总表'!$E$7:$E$15,'九次实验总表'!$B$7:$B$15,3)</x:f>
        <x:v>0.23849147272391016</x:v>
      </x:c>
    </x:row>
    <x:row r="11" ht="24" customHeight="1">
      <x:c r="A11" s="2" t="str">
        <x:v>正文 ROUGE-2 recall</x:v>
      </x:c>
      <x:c r="B11" s="2" t="str">
        <x:v>mean_body_rouge2_recall</x:v>
      </x:c>
      <x:c r="C11" s="2" t="str">
        <x:v>比例</x:v>
      </x:c>
      <x:c r="D11" s="20" t="n">
        <x:f>AVERAGEIFS('九次实验总表'!$F$7:$F$15,'九次实验总表'!$B$7:$B$15,1)</x:f>
        <x:v>0.03527208525717804</x:v>
      </x:c>
      <x:c r="E11" s="20" t="n">
        <x:f>AVERAGEIFS('九次实验总表'!$F$7:$F$15,'九次实验总表'!$B$7:$B$15,2)</x:f>
        <x:v>0.14593171198063107</x:v>
      </x:c>
      <x:c r="F11" s="20" t="n">
        <x:f>AVERAGEIFS('九次实验总表'!$F$7:$F$15,'九次实验总表'!$B$7:$B$15,3)</x:f>
        <x:v>0.21338375195961215</x:v>
      </x:c>
    </x:row>
    <x:row r="12" ht="24" customHeight="1">
      <x:c r="A12" s="29" t="str">
        <x:v>全文 ROUGE-L recall</x:v>
      </x:c>
      <x:c r="B12" s="29" t="str">
        <x:v>mean_rougeL_recall</x:v>
      </x:c>
      <x:c r="C12" s="29" t="str">
        <x:v>比例</x:v>
      </x:c>
      <x:c r="D12" s="21" t="n">
        <x:f>AVERAGEIFS('九次实验总表'!$G$7:$G$15,'九次实验总表'!$B$7:$B$15,1)</x:f>
        <x:v>0.06461105302534405</x:v>
      </x:c>
      <x:c r="E12" s="21" t="n">
        <x:f>AVERAGEIFS('九次实验总表'!$G$7:$G$15,'九次实验总表'!$B$7:$B$15,2)</x:f>
        <x:v>0.21507646704349023</x:v>
      </x:c>
      <x:c r="F12" s="21" t="n">
        <x:f>AVERAGEIFS('九次实验总表'!$G$7:$G$15,'九次实验总表'!$B$7:$B$15,3)</x:f>
        <x:v>0.2561191093701323</x:v>
      </x:c>
    </x:row>
    <x:row r="13" ht="24" customHeight="1">
      <x:c r="A13" s="2" t="str">
        <x:v>全文 ROUGE-L precision</x:v>
      </x:c>
      <x:c r="B13" s="2" t="str">
        <x:v>mean_rougeL_precision</x:v>
      </x:c>
      <x:c r="C13" s="2" t="str">
        <x:v>比例</x:v>
      </x:c>
      <x:c r="D13" s="20" t="n">
        <x:f>AVERAGEIFS('九次实验总表'!$H$7:$H$15,'九次实验总表'!$B$7:$B$15,1)</x:f>
        <x:v>0.20441982133565664</x:v>
      </x:c>
      <x:c r="E13" s="20" t="n">
        <x:f>AVERAGEIFS('九次实验总表'!$H$7:$H$15,'九次实验总表'!$B$7:$B$15,2)</x:f>
        <x:v>0.32567602190384587</x:v>
      </x:c>
      <x:c r="F13" s="20" t="n">
        <x:f>AVERAGEIFS('九次实验总表'!$H$7:$H$15,'九次实验总表'!$B$7:$B$15,3)</x:f>
        <x:v>0.2968855086763504</x:v>
      </x:c>
    </x:row>
    <x:row r="14" ht="24" customHeight="1">
      <x:c r="A14" s="29" t="str">
        <x:v>全文 ROUGE-2 recall</x:v>
      </x:c>
      <x:c r="B14" s="29" t="str">
        <x:v>mean_rouge2_recall</x:v>
      </x:c>
      <x:c r="C14" s="29" t="str">
        <x:v>比例</x:v>
      </x:c>
      <x:c r="D14" s="21" t="n">
        <x:f>AVERAGEIFS('九次实验总表'!$I$7:$I$15,'九次实验总表'!$B$7:$B$15,1)</x:f>
        <x:v>0.034604329262887305</x:v>
      </x:c>
      <x:c r="E14" s="21" t="n">
        <x:f>AVERAGEIFS('九次实验总表'!$I$7:$I$15,'九次实验总表'!$B$7:$B$15,2)</x:f>
        <x:v>0.1749514531697853</x:v>
      </x:c>
      <x:c r="F14" s="21" t="n">
        <x:f>AVERAGEIFS('九次实验总表'!$I$7:$I$15,'九次实验总表'!$B$7:$B$15,3)</x:f>
        <x:v>0.22039636690996045</x:v>
      </x:c>
    </x:row>
    <x:row r="15" ht="24" customHeight="1">
      <x:c r="A15" s="2" t="str">
        <x:v>Token recall</x:v>
      </x:c>
      <x:c r="B15" s="2" t="str">
        <x:v>mean_token_recall</x:v>
      </x:c>
      <x:c r="C15" s="2" t="str">
        <x:v>比例</x:v>
      </x:c>
      <x:c r="D15" s="20" t="n">
        <x:f>AVERAGEIFS('九次实验总表'!$J$7:$J$15,'九次实验总表'!$B$7:$B$15,1)</x:f>
        <x:v>0.08737233947401825</x:v>
      </x:c>
      <x:c r="E15" s="20" t="n">
        <x:f>AVERAGEIFS('九次实验总表'!$J$7:$J$15,'九次实验总表'!$B$7:$B$15,2)</x:f>
        <x:v>0.2433788815730564</x:v>
      </x:c>
      <x:c r="F15" s="20" t="n">
        <x:f>AVERAGEIFS('九次实验总表'!$J$7:$J$15,'九次实验总表'!$B$7:$B$15,3)</x:f>
        <x:v>0.2991193053489955</x:v>
      </x:c>
    </x:row>
    <x:row r="16" ht="24" customHeight="1">
      <x:c r="A16" s="29" t="str">
        <x:v>Token precision</x:v>
      </x:c>
      <x:c r="B16" s="29" t="str">
        <x:v>mean_token_precision</x:v>
      </x:c>
      <x:c r="C16" s="29" t="str">
        <x:v>比例</x:v>
      </x:c>
      <x:c r="D16" s="21" t="n">
        <x:f>AVERAGEIFS('九次实验总表'!$K$7:$K$15,'九次实验总表'!$B$7:$B$15,1)</x:f>
        <x:v>0.22648767657423685</x:v>
      </x:c>
      <x:c r="E16" s="21" t="n">
        <x:f>AVERAGEIFS('九次实验总表'!$K$7:$K$15,'九次实验总表'!$B$7:$B$15,2)</x:f>
        <x:v>0.3564839778305717</x:v>
      </x:c>
      <x:c r="F16" s="21" t="n">
        <x:f>AVERAGEIFS('九次实验总表'!$K$7:$K$15,'九次实验总表'!$B$7:$B$15,3)</x:f>
        <x:v>0.341394643799304</x:v>
      </x:c>
    </x:row>
    <x:row r="17" ht="24" customHeight="1">
      <x:c r="A17" s="2" t="str">
        <x:v>公共前缀比例</x:v>
      </x:c>
      <x:c r="B17" s="2" t="str">
        <x:v>mean_common_prefix_ratio</x:v>
      </x:c>
      <x:c r="C17" s="2" t="str">
        <x:v>比例</x:v>
      </x:c>
      <x:c r="D17" s="20" t="n">
        <x:f>AVERAGEIFS('九次实验总表'!$L$7:$L$15,'九次实验总表'!$B$7:$B$15,1)</x:f>
        <x:v>0.00017846606117504846</x:v>
      </x:c>
      <x:c r="E17" s="20" t="n">
        <x:f>AVERAGEIFS('九次实验总表'!$L$7:$L$15,'九次实验总表'!$B$7:$B$15,2)</x:f>
        <x:v>0.056507811587923194</x:v>
      </x:c>
      <x:c r="F17" s="20" t="n">
        <x:f>AVERAGEIFS('九次实验总表'!$L$7:$L$15,'九次实验总表'!$B$7:$B$15,3)</x:f>
        <x:v>0.014142498325548114</x:v>
      </x:c>
    </x:row>
    <x:row r="18" ht="24" customHeight="1">
      <x:c r="A18" s="29" t="str">
        <x:v>Markdown 精确匹配率</x:v>
      </x:c>
      <x:c r="B18" s="29" t="str">
        <x:v>exact_markdown_match_rate</x:v>
      </x:c>
      <x:c r="C18" s="29" t="str">
        <x:v>比例</x:v>
      </x:c>
      <x:c r="D18" s="21" t="n">
        <x:f>AVERAGEIFS('九次实验总表'!$M$7:$M$15,'九次实验总表'!$B$7:$B$15,1)</x:f>
        <x:v>0</x:v>
      </x:c>
      <x:c r="E18" s="21" t="n">
        <x:f>AVERAGEIFS('九次实验总表'!$M$7:$M$15,'九次实验总表'!$B$7:$B$15,2)</x:f>
        <x:v>0</x:v>
      </x:c>
      <x:c r="F18" s="21" t="n">
        <x:f>AVERAGEIFS('九次实验总表'!$M$7:$M$15,'九次实验总表'!$B$7:$B$15,3)</x:f>
        <x:v>0</x:v>
      </x:c>
    </x:row>
    <x:row r="19" ht="24" customHeight="1">
      <x:c r="A19" s="2" t="str">
        <x:v>Token 精确匹配率</x:v>
      </x:c>
      <x:c r="B19" s="2" t="str">
        <x:v>exact_token_match_rate</x:v>
      </x:c>
      <x:c r="C19" s="2" t="str">
        <x:v>比例</x:v>
      </x:c>
      <x:c r="D19" s="20" t="n">
        <x:f>AVERAGEIFS('九次实验总表'!$N$7:$N$15,'九次实验总表'!$B$7:$B$15,1)</x:f>
        <x:v>0</x:v>
      </x:c>
      <x:c r="E19" s="20" t="n">
        <x:f>AVERAGEIFS('九次实验总表'!$N$7:$N$15,'九次实验总表'!$B$7:$B$15,2)</x:f>
        <x:v>0</x:v>
      </x:c>
      <x:c r="F19" s="20" t="n">
        <x:f>AVERAGEIFS('九次实验总表'!$N$7:$N$15,'九次实验总表'!$B$7:$B$15,3)</x:f>
        <x:v>0</x:v>
      </x:c>
    </x:row>
    <x:row r="20" ht="24" customHeight="1">
      <x:c r="A20" s="29" t="str">
        <x:v>EOS 比例</x:v>
      </x:c>
      <x:c r="B20" s="29" t="str">
        <x:v>eos_rate</x:v>
      </x:c>
      <x:c r="C20" s="29" t="str">
        <x:v>比例</x:v>
      </x:c>
      <x:c r="D20" s="21" t="n">
        <x:f>AVERAGEIFS('九次实验总表'!$O$7:$O$15,'九次实验总表'!$B$7:$B$15,1)</x:f>
        <x:v>0.6282051282051282</x:v>
      </x:c>
      <x:c r="E20" s="21" t="n">
        <x:f>AVERAGEIFS('九次实验总表'!$O$7:$O$15,'九次实验总表'!$B$7:$B$15,2)</x:f>
        <x:v>0.38461538461538464</x:v>
      </x:c>
      <x:c r="F20" s="21" t="n">
        <x:f>AVERAGEIFS('九次实验总表'!$O$7:$O$15,'九次实验总表'!$B$7:$B$15,3)</x:f>
        <x:v>0.2820512820512821</x:v>
      </x:c>
    </x:row>
    <x:row r="21" ht="24" customHeight="1">
      <x:c r="A21" s="2" t="str">
        <x:v>空内容输出率</x:v>
      </x:c>
      <x:c r="B21" s="2" t="str">
        <x:v>empty_content_rate</x:v>
      </x:c>
      <x:c r="C21" s="2" t="str">
        <x:v>比例</x:v>
      </x:c>
      <x:c r="D21" s="20" t="n">
        <x:f>AVERAGEIFS('九次实验总表'!$P$7:$P$15,'九次实验总表'!$B$7:$B$15,1)</x:f>
        <x:v>0.4743589743589744</x:v>
      </x:c>
      <x:c r="E21" s="20" t="n">
        <x:f>AVERAGEIFS('九次实验总表'!$P$7:$P$15,'九次实验总表'!$B$7:$B$15,2)</x:f>
        <x:v>0.21794871794871795</x:v>
      </x:c>
      <x:c r="F21" s="20" t="n">
        <x:f>AVERAGEIFS('九次实验总表'!$P$7:$P$15,'九次实验总表'!$B$7:$B$15,3)</x:f>
        <x:v>0.1923076923076923</x:v>
      </x:c>
    </x:row>
    <x:row r="22" ht="24" customHeight="1">
      <x:c r="A22" s="29" t="str">
        <x:v>测试样本数</x:v>
      </x:c>
      <x:c r="B22" s="29" t="str">
        <x:v>total_samples</x:v>
      </x:c>
      <x:c r="C22" s="29" t="str">
        <x:v>篇/实验</x:v>
      </x:c>
      <x:c r="D22" s="30" t="n">
        <x:f>AVERAGEIFS('九次实验总表'!$Q$7:$Q$15,'九次实验总表'!$B$7:$B$15,1)</x:f>
        <x:v>26</x:v>
      </x:c>
      <x:c r="E22" s="30" t="n">
        <x:f>AVERAGEIFS('九次实验总表'!$Q$7:$Q$15,'九次实验总表'!$B$7:$B$15,2)</x:f>
        <x:v>26</x:v>
      </x:c>
      <x:c r="F22" s="30" t="n">
        <x:f>AVERAGEIFS('九次实验总表'!$Q$7:$Q$15,'九次实验总表'!$B$7:$B$15,3)</x:f>
        <x:v>26</x:v>
      </x:c>
    </x:row>
    <x:row r="23" ht="24" customHeight="1">
      <x:c r="A23" s="2" t="str">
        <x:v>有效评估样本数</x:v>
      </x:c>
      <x:c r="B23" s="2" t="str">
        <x:v>evaluated_samples</x:v>
      </x:c>
      <x:c r="C23" s="2" t="str">
        <x:v>篇/实验</x:v>
      </x:c>
      <x:c r="D23" s="31" t="n">
        <x:f>AVERAGEIFS('九次实验总表'!$R$7:$R$15,'九次实验总表'!$B$7:$B$15,1)</x:f>
        <x:v>26</x:v>
      </x:c>
      <x:c r="E23" s="31" t="n">
        <x:f>AVERAGEIFS('九次实验总表'!$R$7:$R$15,'九次实验总表'!$B$7:$B$15,2)</x:f>
        <x:v>26</x:v>
      </x:c>
      <x:c r="F23" s="31" t="n">
        <x:f>AVERAGEIFS('九次实验总表'!$R$7:$R$15,'九次实验总表'!$B$7:$B$15,3)</x:f>
        <x:v>26</x:v>
      </x:c>
    </x:row>
    <x:row r="24" ht="24" customHeight="1">
      <x:c r="A24" s="29" t="str">
        <x:v>生成失败样本数</x:v>
      </x:c>
      <x:c r="B24" s="29" t="str">
        <x:v>failed_samples</x:v>
      </x:c>
      <x:c r="C24" s="29" t="str">
        <x:v>篇/实验</x:v>
      </x:c>
      <x:c r="D24" s="30" t="n">
        <x:f>AVERAGEIFS('九次实验总表'!$S$7:$S$15,'九次实验总表'!$B$7:$B$15,1)</x:f>
        <x:v>0</x:v>
      </x:c>
      <x:c r="E24" s="30" t="n">
        <x:f>AVERAGEIFS('九次实验总表'!$S$7:$S$15,'九次实验总表'!$B$7:$B$15,2)</x:f>
        <x:v>0</x:v>
      </x:c>
      <x:c r="F24" s="30" t="n">
        <x:f>AVERAGEIFS('九次实验总表'!$S$7:$S$15,'九次实验总表'!$B$7:$B$15,3)</x:f>
        <x:v>0</x:v>
      </x:c>
    </x:row>
    <x:row r="25" ht="24" customHeight="1">
      <x:c r="A25" s="2" t="str">
        <x:v>完整原文前缀泄漏数</x:v>
      </x:c>
      <x:c r="B25" s="2" t="str">
        <x:v>full_skill_leak_count</x:v>
      </x:c>
      <x:c r="C25" s="2" t="str">
        <x:v>篇/实验</x:v>
      </x:c>
      <x:c r="D25" s="31" t="n">
        <x:f>AVERAGEIFS('九次实验总表'!$T$7:$T$15,'九次实验总表'!$B$7:$B$15,1)</x:f>
        <x:v>0</x:v>
      </x:c>
      <x:c r="E25" s="31" t="n">
        <x:f>AVERAGEIFS('九次实验总表'!$T$7:$T$15,'九次实验总表'!$B$7:$B$15,2)</x:f>
        <x:v>1</x:v>
      </x:c>
      <x:c r="F25" s="31" t="n">
        <x:f>AVERAGEIFS('九次实验总表'!$T$7:$T$15,'九次实验总表'!$B$7:$B$15,3)</x:f>
        <x:v>0.3333333333333333</x:v>
      </x:c>
    </x:row>
    <x:row r="26" ht="24" customHeight="1">
      <x:c r="A26" s="29" t="str">
        <x:v>空内容输出数</x:v>
      </x:c>
      <x:c r="B26" s="29" t="str">
        <x:v>empty_content_count</x:v>
      </x:c>
      <x:c r="C26" s="29" t="str">
        <x:v>篇/实验</x:v>
      </x:c>
      <x:c r="D26" s="30" t="n">
        <x:f>AVERAGEIFS('九次实验总表'!$U$7:$U$15,'九次实验总表'!$B$7:$B$15,1)</x:f>
        <x:v>12.333333333333334</x:v>
      </x:c>
      <x:c r="E26" s="30" t="n">
        <x:f>AVERAGEIFS('九次实验总表'!$U$7:$U$15,'九次实验总表'!$B$7:$B$15,2)</x:f>
        <x:v>5.666666666666667</x:v>
      </x:c>
      <x:c r="F26" s="30" t="n">
        <x:f>AVERAGEIFS('九次实验总表'!$U$7:$U$15,'九次实验总表'!$B$7:$B$15,3)</x:f>
        <x:v>5</x:v>
      </x:c>
    </x:row>
    <x:row r="27" ht="24" customHeight="1">
      <x:c r="A27" s="2" t="str">
        <x:v>正文 RL recall ≥ 0.5 数</x:v>
      </x:c>
      <x:c r="B27" s="2" t="str">
        <x:v>body_rougeL_ge_0_5_count</x:v>
      </x:c>
      <x:c r="C27" s="2" t="str">
        <x:v>篇/实验</x:v>
      </x:c>
      <x:c r="D27" s="31" t="n">
        <x:f>AVERAGEIFS('九次实验总表'!$V$7:$V$15,'九次实验总表'!$B$7:$B$15,1)</x:f>
        <x:v>0</x:v>
      </x:c>
      <x:c r="E27" s="31" t="n">
        <x:f>AVERAGEIFS('九次实验总表'!$V$7:$V$15,'九次实验总表'!$B$7:$B$15,2)</x:f>
        <x:v>2.6666666666666665</x:v>
      </x:c>
      <x:c r="F27" s="31" t="n">
        <x:f>AVERAGEIFS('九次实验总表'!$V$7:$V$15,'九次实验总表'!$B$7:$B$15,3)</x:f>
        <x:v>4.666666666666667</x:v>
      </x:c>
    </x:row>
    <x:row r="28" ht="24" customHeight="1">
      <x:c r="A28" s="29" t="str">
        <x:v>正文 RL recall ≥ 0.9 数</x:v>
      </x:c>
      <x:c r="B28" s="29" t="str">
        <x:v>body_rougeL_ge_0_9_count</x:v>
      </x:c>
      <x:c r="C28" s="29" t="str">
        <x:v>篇/实验</x:v>
      </x:c>
      <x:c r="D28" s="30" t="n">
        <x:f>AVERAGEIFS('九次实验总表'!$W$7:$W$15,'九次实验总表'!$B$7:$B$15,1)</x:f>
        <x:v>0</x:v>
      </x:c>
      <x:c r="E28" s="30" t="n">
        <x:f>AVERAGEIFS('九次实验总表'!$W$7:$W$15,'九次实验总表'!$B$7:$B$15,2)</x:f>
        <x:v>2.3333333333333335</x:v>
      </x:c>
      <x:c r="F28" s="30" t="n">
        <x:f>AVERAGEIFS('九次实验总表'!$W$7:$W$15,'九次实验总表'!$B$7:$B$15,3)</x:f>
        <x:v>3.6666666666666665</x:v>
      </x:c>
    </x:row>
    <x:row r="29" ht="24" customHeight="1">
      <x:c r="A29" s="2" t="str">
        <x:v>输出 token 数中位数</x:v>
      </x:c>
      <x:c r="B29" s="2" t="str">
        <x:v>median_prediction_tokens</x:v>
      </x:c>
      <x:c r="C29" s="2" t="str">
        <x:v>token/实验</x:v>
      </x:c>
      <x:c r="D29" s="31" t="n">
        <x:f>AVERAGEIFS('九次实验总表'!$X$7:$X$15,'九次实验总表'!$B$7:$B$15,1)</x:f>
        <x:v>151</x:v>
      </x:c>
      <x:c r="E29" s="31" t="n">
        <x:f>AVERAGEIFS('九次实验总表'!$X$7:$X$15,'九次实验总表'!$B$7:$B$15,2)</x:f>
        <x:v>715.8333333333334</x:v>
      </x:c>
      <x:c r="F29" s="31" t="n">
        <x:f>AVERAGEIFS('九次实验总表'!$X$7:$X$15,'九次实验总表'!$B$7:$B$15,3)</x:f>
        <x:v>784.1666666666666</x:v>
      </x:c>
    </x:row>
    <x:row r="30" ht="24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29AB1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30" customHeight="1">
      <x:c r="A2" s="4" t="str">
        <x:v>documents selecteddata：九次实验总表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3" ht="24" customHeight="1">
      <x:c r="A3" s="6" t="str">
        <x:v>train_num=3；prefix_length=8；trigger_length=12；shadow/target=llama；dtype=bfloat16；gradient checkpointing=true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</x:row>
    <x:row r="4" ht="24" customHeight="1">
      <x:c r="A4" s="6" t="str">
        <x:v>同一固定测试集 26 篇；比例按百分比显示，底层保留原始精度。空输出仍计入有效评估。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</x:row>
    <x:row r="6" ht="54" customHeight="1">
      <x:c r="A6" s="16" t="str">
        <x:v>sample_seed</x:v>
      </x:c>
      <x:c r="B6" s="17" t="str">
        <x:v>attack_seed</x:v>
      </x:c>
      <x:c r="C6" s="17" t="str">
        <x:v>完整原文前缀泄漏率</x:v>
      </x:c>
      <x:c r="D6" s="17" t="str">
        <x:v>正文 ROUGE-L recall</x:v>
      </x:c>
      <x:c r="E6" s="17" t="str">
        <x:v>正文 ROUGE-L precision</x:v>
      </x:c>
      <x:c r="F6" s="17" t="str">
        <x:v>正文 ROUGE-2 recall</x:v>
      </x:c>
      <x:c r="G6" s="17" t="str">
        <x:v>全文 ROUGE-L recall</x:v>
      </x:c>
      <x:c r="H6" s="17" t="str">
        <x:v>全文 ROUGE-L precision</x:v>
      </x:c>
      <x:c r="I6" s="17" t="str">
        <x:v>全文 ROUGE-2 recall</x:v>
      </x:c>
      <x:c r="J6" s="17" t="str">
        <x:v>Token recall</x:v>
      </x:c>
      <x:c r="K6" s="17" t="str">
        <x:v>Token precision</x:v>
      </x:c>
      <x:c r="L6" s="17" t="str">
        <x:v>公共前缀比例</x:v>
      </x:c>
      <x:c r="M6" s="17" t="str">
        <x:v>Markdown 精确匹配率</x:v>
      </x:c>
      <x:c r="N6" s="17" t="str">
        <x:v>Token 精确匹配率</x:v>
      </x:c>
      <x:c r="O6" s="17" t="str">
        <x:v>EOS 比例</x:v>
      </x:c>
      <x:c r="P6" s="17" t="str">
        <x:v>空内容输出率</x:v>
      </x:c>
      <x:c r="Q6" s="17" t="str">
        <x:v>测试样本数</x:v>
      </x:c>
      <x:c r="R6" s="17" t="str">
        <x:v>有效评估样本数</x:v>
      </x:c>
      <x:c r="S6" s="17" t="str">
        <x:v>生成失败样本数</x:v>
      </x:c>
      <x:c r="T6" s="17" t="str">
        <x:v>完整原文前缀泄漏数</x:v>
      </x:c>
      <x:c r="U6" s="17" t="str">
        <x:v>空内容输出数</x:v>
      </x:c>
      <x:c r="V6" s="17" t="str">
        <x:v>正文 RL recall ≥ 0.5 数</x:v>
      </x:c>
      <x:c r="W6" s="17" t="str">
        <x:v>正文 RL recall ≥ 0.9 数</x:v>
      </x:c>
      <x:c r="X6" s="18" t="str">
        <x:v>输出 token 数中位数</x:v>
      </x:c>
    </x:row>
    <x:row r="7" ht="24" customHeight="1">
      <x:c r="A7" s="7" t="n">
        <x:v>0</x:v>
      </x:c>
      <x:c r="B7" s="7" t="n">
        <x:v>1</x:v>
      </x:c>
      <x:c r="C7" s="20" t="n">
        <x:v>0</x:v>
      </x:c>
      <x:c r="D7" s="20" t="n">
        <x:v>0.023507538717968388</x:v>
      </x:c>
      <x:c r="E7" s="20" t="n">
        <x:v>0.05568379613767262</x:v>
      </x:c>
      <x:c r="F7" s="20" t="n">
        <x:v>0.004330834001163672</x:v>
      </x:c>
      <x:c r="G7" s="20" t="n">
        <x:v>0.025743034465842998</x:v>
      </x:c>
      <x:c r="H7" s="20" t="n">
        <x:v>0.45739154758112943</x:v>
      </x:c>
      <x:c r="I7" s="20" t="n">
        <x:v>0.007929189798685014</x:v>
      </x:c>
      <x:c r="J7" s="20" t="n">
        <x:v>0.031362975055631036</x:v>
      </x:c>
      <x:c r="K7" s="20" t="n">
        <x:v>0.46518931475666875</x:v>
      </x:c>
      <x:c r="L7" s="20" t="n">
        <x:v>0.0005353981835251454</x:v>
      </x:c>
      <x:c r="M7" s="20" t="n">
        <x:v>0</x:v>
      </x:c>
      <x:c r="N7" s="20" t="n">
        <x:v>0</x:v>
      </x:c>
      <x:c r="O7" s="20" t="n">
        <x:v>0.8076923076923077</x:v>
      </x:c>
      <x:c r="P7" s="20" t="n">
        <x:f>U7/R7</x:f>
        <x:v>0.34615384615384615</x:v>
      </x:c>
      <x:c r="Q7" s="22" t="n">
        <x:v>26</x:v>
      </x:c>
      <x:c r="R7" s="22" t="n">
        <x:v>26</x:v>
      </x:c>
      <x:c r="S7" s="22" t="n">
        <x:v>0</x:v>
      </x:c>
      <x:c r="T7" s="22" t="n">
        <x:v>0</x:v>
      </x:c>
      <x:c r="U7" s="22" t="n">
        <x:v>9</x:v>
      </x:c>
      <x:c r="V7" s="22" t="n">
        <x:v>0</x:v>
      </x:c>
      <x:c r="W7" s="22" t="n">
        <x:v>0</x:v>
      </x:c>
      <x:c r="X7" s="24" t="n">
        <x:v>1</x:v>
      </x:c>
    </x:row>
    <x:row r="8" ht="24" customHeight="1">
      <x:c r="A8" s="19" t="n">
        <x:v>0</x:v>
      </x:c>
      <x:c r="B8" s="19" t="n">
        <x:v>2</x:v>
      </x:c>
      <x:c r="C8" s="21" t="n">
        <x:v>0</x:v>
      </x:c>
      <x:c r="D8" s="21" t="n">
        <x:v>0.10469171278882397</x:v>
      </x:c>
      <x:c r="E8" s="21" t="n">
        <x:v>0.12831551632092913</x:v>
      </x:c>
      <x:c r="F8" s="21" t="n">
        <x:v>0.05173709450462046</x:v>
      </x:c>
      <x:c r="G8" s="21" t="n">
        <x:v>0.13291326905883571</x:v>
      </x:c>
      <x:c r="H8" s="21" t="n">
        <x:v>0.21096606058429904</x:v>
      </x:c>
      <x:c r="I8" s="21" t="n">
        <x:v>0.08380577119337243</x:v>
      </x:c>
      <x:c r="J8" s="21" t="n">
        <x:v>0.16182071520410155</x:v>
      </x:c>
      <x:c r="K8" s="21" t="n">
        <x:v>0.2400051961515892</x:v>
      </x:c>
      <x:c r="L8" s="21" t="n">
        <x:v>0.0006318541860345498</x:v>
      </x:c>
      <x:c r="M8" s="21" t="n">
        <x:v>0</x:v>
      </x:c>
      <x:c r="N8" s="21" t="n">
        <x:v>0</x:v>
      </x:c>
      <x:c r="O8" s="21" t="n">
        <x:v>0.34615384615384615</x:v>
      </x:c>
      <x:c r="P8" s="21" t="n">
        <x:f>U8/R8</x:f>
        <x:v>0.23076923076923078</x:v>
      </x:c>
      <x:c r="Q8" s="23" t="n">
        <x:v>26</x:v>
      </x:c>
      <x:c r="R8" s="23" t="n">
        <x:v>26</x:v>
      </x:c>
      <x:c r="S8" s="23" t="n">
        <x:v>0</x:v>
      </x:c>
      <x:c r="T8" s="23" t="n">
        <x:v>0</x:v>
      </x:c>
      <x:c r="U8" s="23" t="n">
        <x:v>6</x:v>
      </x:c>
      <x:c r="V8" s="23" t="n">
        <x:v>0</x:v>
      </x:c>
      <x:c r="W8" s="23" t="n">
        <x:v>0</x:v>
      </x:c>
      <x:c r="X8" s="25" t="n">
        <x:v>767.5</x:v>
      </x:c>
    </x:row>
    <x:row r="9" ht="24" customHeight="1">
      <x:c r="A9" s="7" t="n">
        <x:v>0</x:v>
      </x:c>
      <x:c r="B9" s="7" t="n">
        <x:v>3</x:v>
      </x:c>
      <x:c r="C9" s="20" t="n">
        <x:v>0</x:v>
      </x:c>
      <x:c r="D9" s="20" t="n">
        <x:v>0.21280080845416696</x:v>
      </x:c>
      <x:c r="E9" s="20" t="n">
        <x:v>0.1909130146693569</x:v>
      </x:c>
      <x:c r="F9" s="20" t="n">
        <x:v>0.16307967470042495</x:v>
      </x:c>
      <x:c r="G9" s="20" t="n">
        <x:v>0.1903408039123829</x:v>
      </x:c>
      <x:c r="H9" s="20" t="n">
        <x:v>0.19882598422384495</x:v>
      </x:c>
      <x:c r="I9" s="20" t="n">
        <x:v>0.1440259071573319</x:v>
      </x:c>
      <x:c r="J9" s="20" t="n">
        <x:v>0.22618688797422898</x:v>
      </x:c>
      <x:c r="K9" s="20" t="n">
        <x:v>0.2458673631689437</x:v>
      </x:c>
      <x:c r="L9" s="20" t="n">
        <x:v>0</x:v>
      </x:c>
      <x:c r="M9" s="20" t="n">
        <x:v>0</x:v>
      </x:c>
      <x:c r="N9" s="20" t="n">
        <x:v>0</x:v>
      </x:c>
      <x:c r="O9" s="20" t="n">
        <x:v>0.3076923076923077</x:v>
      </x:c>
      <x:c r="P9" s="20" t="n">
        <x:f>U9/R9</x:f>
        <x:v>0.19230769230769232</x:v>
      </x:c>
      <x:c r="Q9" s="22" t="n">
        <x:v>26</x:v>
      </x:c>
      <x:c r="R9" s="22" t="n">
        <x:v>26</x:v>
      </x:c>
      <x:c r="S9" s="22" t="n">
        <x:v>0</x:v>
      </x:c>
      <x:c r="T9" s="22" t="n">
        <x:v>0</x:v>
      </x:c>
      <x:c r="U9" s="22" t="n">
        <x:v>5</x:v>
      </x:c>
      <x:c r="V9" s="22" t="n">
        <x:v>3</x:v>
      </x:c>
      <x:c r="W9" s="22" t="n">
        <x:v>3</x:v>
      </x:c>
      <x:c r="X9" s="24" t="n">
        <x:v>851.5</x:v>
      </x:c>
    </x:row>
    <x:row r="10" ht="24" customHeight="1">
      <x:c r="A10" s="19" t="n">
        <x:v>1</x:v>
      </x:c>
      <x:c r="B10" s="19" t="n">
        <x:v>1</x:v>
      </x:c>
      <x:c r="C10" s="21" t="n">
        <x:v>0</x:v>
      </x:c>
      <x:c r="D10" s="21" t="n">
        <x:v>0.10290225117516671</x:v>
      </x:c>
      <x:c r="E10" s="21" t="n">
        <x:v>0.08395179639491891</x:v>
      </x:c>
      <x:c r="F10" s="21" t="n">
        <x:v>0.057885277102545256</x:v>
      </x:c>
      <x:c r="G10" s="21" t="n">
        <x:v>0.09833050085702236</x:v>
      </x:c>
      <x:c r="H10" s="21" t="n">
        <x:v>0.09190297395840309</x:v>
      </x:c>
      <x:c r="I10" s="21" t="n">
        <x:v>0.05490572143812807</x:v>
      </x:c>
      <x:c r="J10" s="21" t="n">
        <x:v>0.13114236511025415</x:v>
      </x:c>
      <x:c r="K10" s="21" t="n">
        <x:v>0.12285961394748306</x:v>
      </x:c>
      <x:c r="L10" s="21" t="n">
        <x:v>0</x:v>
      </x:c>
      <x:c r="M10" s="21" t="n">
        <x:v>0</x:v>
      </x:c>
      <x:c r="N10" s="21" t="n">
        <x:v>0</x:v>
      </x:c>
      <x:c r="O10" s="21" t="n">
        <x:v>0.46153846153846156</x:v>
      </x:c>
      <x:c r="P10" s="21" t="n">
        <x:f>U10/R10</x:f>
        <x:v>0.46153846153846156</x:v>
      </x:c>
      <x:c r="Q10" s="23" t="n">
        <x:v>26</x:v>
      </x:c>
      <x:c r="R10" s="23" t="n">
        <x:v>26</x:v>
      </x:c>
      <x:c r="S10" s="23" t="n">
        <x:v>0</x:v>
      </x:c>
      <x:c r="T10" s="23" t="n">
        <x:v>0</x:v>
      </x:c>
      <x:c r="U10" s="23" t="n">
        <x:v>12</x:v>
      </x:c>
      <x:c r="V10" s="23" t="n">
        <x:v>0</x:v>
      </x:c>
      <x:c r="W10" s="23" t="n">
        <x:v>0</x:v>
      </x:c>
      <x:c r="X10" s="25" t="n">
        <x:v>452</x:v>
      </x:c>
    </x:row>
    <x:row r="11" ht="24" customHeight="1">
      <x:c r="A11" s="7" t="n">
        <x:v>1</x:v>
      </x:c>
      <x:c r="B11" s="7" t="n">
        <x:v>2</x:v>
      </x:c>
      <x:c r="C11" s="20" t="n">
        <x:v>0.11538461538461539</x:v>
      </x:c>
      <x:c r="D11" s="20" t="n">
        <x:v>0.3616237176180764</x:v>
      </x:c>
      <x:c r="E11" s="20" t="n">
        <x:v>0.3868787858763435</x:v>
      </x:c>
      <x:c r="F11" s="20" t="n">
        <x:v>0.3309942545733454</x:v>
      </x:c>
      <x:c r="G11" s="20" t="n">
        <x:v>0.39363806282870295</x:v>
      </x:c>
      <x:c r="H11" s="20" t="n">
        <x:v>0.6557242089072605</x:v>
      </x:c>
      <x:c r="I11" s="20" t="n">
        <x:v>0.3661513064487577</x:v>
      </x:c>
      <x:c r="J11" s="20" t="n">
        <x:v>0.4165726682966282</x:v>
      </x:c>
      <x:c r="K11" s="20" t="n">
        <x:v>0.6883864794895936</x:v>
      </x:c>
      <x:c r="L11" s="20" t="n">
        <x:v>0.16873585308926106</x:v>
      </x:c>
      <x:c r="M11" s="20" t="n">
        <x:v>0</x:v>
      </x:c>
      <x:c r="N11" s="20" t="n">
        <x:v>0</x:v>
      </x:c>
      <x:c r="O11" s="20" t="n">
        <x:v>0.38461538461538464</x:v>
      </x:c>
      <x:c r="P11" s="20" t="n">
        <x:f>U11/R11</x:f>
        <x:v>0</x:v>
      </x:c>
      <x:c r="Q11" s="22" t="n">
        <x:v>26</x:v>
      </x:c>
      <x:c r="R11" s="22" t="n">
        <x:v>26</x:v>
      </x:c>
      <x:c r="S11" s="22" t="n">
        <x:v>0</x:v>
      </x:c>
      <x:c r="T11" s="22" t="n">
        <x:v>3</x:v>
      </x:c>
      <x:c r="U11" s="22" t="n">
        <x:v>0</x:v>
      </x:c>
      <x:c r="V11" s="22" t="n">
        <x:v>8</x:v>
      </x:c>
      <x:c r="W11" s="22" t="n">
        <x:v>7</x:v>
      </x:c>
      <x:c r="X11" s="24" t="n">
        <x:v>851.5</x:v>
      </x:c>
    </x:row>
    <x:row r="12" ht="24" customHeight="1">
      <x:c r="A12" s="19" t="n">
        <x:v>1</x:v>
      </x:c>
      <x:c r="B12" s="19" t="n">
        <x:v>3</x:v>
      </x:c>
      <x:c r="C12" s="21" t="n">
        <x:v>0</x:v>
      </x:c>
      <x:c r="D12" s="21" t="n">
        <x:v>0.13646299524344666</x:v>
      </x:c>
      <x:c r="E12" s="21" t="n">
        <x:v>0.10710550410508134</x:v>
      </x:c>
      <x:c r="F12" s="21" t="n">
        <x:v>0.08836725584085155</x:v>
      </x:c>
      <x:c r="G12" s="21" t="n">
        <x:v>0.13077507137727915</x:v>
      </x:c>
      <x:c r="H12" s="21" t="n">
        <x:v>0.12062871670672294</x:v>
      </x:c>
      <x:c r="I12" s="21" t="n">
        <x:v>0.08710531221802652</x:v>
      </x:c>
      <x:c r="J12" s="21" t="n">
        <x:v>0.19381579854834038</x:v>
      </x:c>
      <x:c r="K12" s="21" t="n">
        <x:v>0.17919670187240375</x:v>
      </x:c>
      <x:c r="L12" s="21" t="n">
        <x:v>0.00005606638259699484</x:v>
      </x:c>
      <x:c r="M12" s="21" t="n">
        <x:v>0</x:v>
      </x:c>
      <x:c r="N12" s="21" t="n">
        <x:v>0</x:v>
      </x:c>
      <x:c r="O12" s="21" t="n">
        <x:v>0.3076923076923077</x:v>
      </x:c>
      <x:c r="P12" s="21" t="n">
        <x:f>U12/R12</x:f>
        <x:v>0.3076923076923077</x:v>
      </x:c>
      <x:c r="Q12" s="23" t="n">
        <x:v>26</x:v>
      </x:c>
      <x:c r="R12" s="23" t="n">
        <x:v>26</x:v>
      </x:c>
      <x:c r="S12" s="23" t="n">
        <x:v>0</x:v>
      </x:c>
      <x:c r="T12" s="23" t="n">
        <x:v>0</x:v>
      </x:c>
      <x:c r="U12" s="23" t="n">
        <x:v>8</x:v>
      </x:c>
      <x:c r="V12" s="23" t="n">
        <x:v>1</x:v>
      </x:c>
      <x:c r="W12" s="23" t="n">
        <x:v>0</x:v>
      </x:c>
      <x:c r="X12" s="25" t="n">
        <x:v>648.5</x:v>
      </x:c>
    </x:row>
    <x:row r="13" ht="24" customHeight="1">
      <x:c r="A13" s="7" t="n">
        <x:v>2</x:v>
      </x:c>
      <x:c r="B13" s="7" t="n">
        <x:v>1</x:v>
      </x:c>
      <x:c r="C13" s="20" t="n">
        <x:v>0</x:v>
      </x:c>
      <x:c r="D13" s="20" t="n">
        <x:v>0.07507861449804817</x:v>
      </x:c>
      <x:c r="E13" s="20" t="n">
        <x:v>0.05619503264586382</x:v>
      </x:c>
      <x:c r="F13" s="20" t="n">
        <x:v>0.043600144667825184</x:v>
      </x:c>
      <x:c r="G13" s="20" t="n">
        <x:v>0.06975962375316679</x:v>
      </x:c>
      <x:c r="H13" s="20" t="n">
        <x:v>0.06396494246743743</x:v>
      </x:c>
      <x:c r="I13" s="20" t="n">
        <x:v>0.04097807655184881</x:v>
      </x:c>
      <x:c r="J13" s="20" t="n">
        <x:v>0.09961167825616958</x:v>
      </x:c>
      <x:c r="K13" s="20" t="n">
        <x:v>0.09141410101855872</x:v>
      </x:c>
      <x:c r="L13" s="20" t="n">
        <x:v>0</x:v>
      </x:c>
      <x:c r="M13" s="20" t="n">
        <x:v>0</x:v>
      </x:c>
      <x:c r="N13" s="20" t="n">
        <x:v>0</x:v>
      </x:c>
      <x:c r="O13" s="20" t="n">
        <x:v>0.6153846153846154</x:v>
      </x:c>
      <x:c r="P13" s="20" t="n">
        <x:f>U13/R13</x:f>
        <x:v>0.6153846153846154</x:v>
      </x:c>
      <x:c r="Q13" s="22" t="n">
        <x:v>26</x:v>
      </x:c>
      <x:c r="R13" s="22" t="n">
        <x:v>26</x:v>
      </x:c>
      <x:c r="S13" s="22" t="n">
        <x:v>0</x:v>
      </x:c>
      <x:c r="T13" s="22" t="n">
        <x:v>0</x:v>
      </x:c>
      <x:c r="U13" s="22" t="n">
        <x:v>16</x:v>
      </x:c>
      <x:c r="V13" s="22" t="n">
        <x:v>0</x:v>
      </x:c>
      <x:c r="W13" s="22" t="n">
        <x:v>0</x:v>
      </x:c>
      <x:c r="X13" s="24" t="n">
        <x:v>0</x:v>
      </x:c>
    </x:row>
    <x:row r="14" ht="24" customHeight="1">
      <x:c r="A14" s="19" t="n">
        <x:v>2</x:v>
      </x:c>
      <x:c r="B14" s="19" t="n">
        <x:v>2</x:v>
      </x:c>
      <x:c r="C14" s="21" t="n">
        <x:v>0</x:v>
      </x:c>
      <x:c r="D14" s="21" t="n">
        <x:v>0.1017644719961919</x:v>
      </x:c>
      <x:c r="E14" s="21" t="n">
        <x:v>0.11079622171631048</x:v>
      </x:c>
      <x:c r="F14" s="21" t="n">
        <x:v>0.0550637868639274</x:v>
      </x:c>
      <x:c r="G14" s="21" t="n">
        <x:v>0.11867806924293195</x:v>
      </x:c>
      <x:c r="H14" s="21" t="n">
        <x:v>0.11033779621997805</x:v>
      </x:c>
      <x:c r="I14" s="21" t="n">
        <x:v>0.07489728186722576</x:v>
      </x:c>
      <x:c r="J14" s="21" t="n">
        <x:v>0.1517432612184394</x:v>
      </x:c>
      <x:c r="K14" s="21" t="n">
        <x:v>0.14106025785053206</x:v>
      </x:c>
      <x:c r="L14" s="21" t="n">
        <x:v>0.00015572748847396734</x:v>
      </x:c>
      <x:c r="M14" s="21" t="n">
        <x:v>0</x:v>
      </x:c>
      <x:c r="N14" s="21" t="n">
        <x:v>0</x:v>
      </x:c>
      <x:c r="O14" s="21" t="n">
        <x:v>0.4230769230769231</x:v>
      </x:c>
      <x:c r="P14" s="21" t="n">
        <x:f>U14/R14</x:f>
        <x:v>0.4230769230769231</x:v>
      </x:c>
      <x:c r="Q14" s="23" t="n">
        <x:v>26</x:v>
      </x:c>
      <x:c r="R14" s="23" t="n">
        <x:v>26</x:v>
      </x:c>
      <x:c r="S14" s="23" t="n">
        <x:v>0</x:v>
      </x:c>
      <x:c r="T14" s="23" t="n">
        <x:v>0</x:v>
      </x:c>
      <x:c r="U14" s="23" t="n">
        <x:v>11</x:v>
      </x:c>
      <x:c r="V14" s="23" t="n">
        <x:v>0</x:v>
      </x:c>
      <x:c r="W14" s="23" t="n">
        <x:v>0</x:v>
      </x:c>
      <x:c r="X14" s="25" t="n">
        <x:v>528.5</x:v>
      </x:c>
    </x:row>
    <x:row r="15" ht="24" customHeight="1">
      <x:c r="A15" s="7" t="n">
        <x:v>2</x:v>
      </x:c>
      <x:c r="B15" s="7" t="n">
        <x:v>3</x:v>
      </x:c>
      <x:c r="C15" s="20" t="n">
        <x:v>0.038461538461538464</x:v>
      </x:c>
      <x:c r="D15" s="20" t="n">
        <x:v>0.41400628644724013</x:v>
      </x:c>
      <x:c r="E15" s="20" t="n">
        <x:v>0.4174558993972922</x:v>
      </x:c>
      <x:c r="F15" s="20" t="n">
        <x:v>0.38870432533755994</x:v>
      </x:c>
      <x:c r="G15" s="20" t="n">
        <x:v>0.4472414528207351</x:v>
      </x:c>
      <x:c r="H15" s="20" t="n">
        <x:v>0.5712018250984832</x:v>
      </x:c>
      <x:c r="I15" s="20" t="n">
        <x:v>0.43005788135452294</x:v>
      </x:c>
      <x:c r="J15" s="20" t="n">
        <x:v>0.4773552295244171</x:v>
      </x:c>
      <x:c r="K15" s="20" t="n">
        <x:v>0.5991198663565647</x:v>
      </x:c>
      <x:c r="L15" s="20" t="n">
        <x:v>0.04237142859404735</x:v>
      </x:c>
      <x:c r="M15" s="20" t="n">
        <x:v>0</x:v>
      </x:c>
      <x:c r="N15" s="20" t="n">
        <x:v>0</x:v>
      </x:c>
      <x:c r="O15" s="20" t="n">
        <x:v>0.23076923076923078</x:v>
      </x:c>
      <x:c r="P15" s="20" t="n">
        <x:f>U15/R15</x:f>
        <x:v>0.07692307692307693</x:v>
      </x:c>
      <x:c r="Q15" s="22" t="n">
        <x:v>26</x:v>
      </x:c>
      <x:c r="R15" s="22" t="n">
        <x:v>26</x:v>
      </x:c>
      <x:c r="S15" s="22" t="n">
        <x:v>0</x:v>
      </x:c>
      <x:c r="T15" s="22" t="n">
        <x:v>1</x:v>
      </x:c>
      <x:c r="U15" s="22" t="n">
        <x:v>2</x:v>
      </x:c>
      <x:c r="V15" s="22" t="n">
        <x:v>10</x:v>
      </x:c>
      <x:c r="W15" s="22" t="n">
        <x:v>8</x:v>
      </x:c>
      <x:c r="X15" s="24" t="n">
        <x:v>852.5</x:v>
      </x:c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</x:row>
    <x:row r="18" ht="24" customHeight="1">
      <x:c r="A18" s="26" t="str">
        <x:v>来源：归档的逐实验 evaluation JSON；下列运行目录结合 sample_seed 与 attack_seed 定位原始文件。</x:v>
      </x:c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</x:row>
    <x:row r="20" ht="40" customHeight="1">
      <x:c r="A20" s="16" t="str">
        <x:v>sample_seed</x:v>
      </x:c>
      <x:c r="B20" s="17" t="str">
        <x:v>attack_seed</x:v>
      </x:c>
      <x:c r="C20" s="18" t="str">
        <x:v>原始运行目录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</x:row>
    <x:row r="21" ht="24" customHeight="1">
      <x:c r="A21" s="27" t="n">
        <x:v>0</x:v>
      </x:c>
      <x:c r="B21" s="27" t="n">
        <x:v>1</x:v>
      </x:c>
      <x:c r="C21" s="28" t="str">
        <x:v>documents_train3_20261002_120822_9zuqtymn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</x:row>
    <x:row r="22" ht="24" customHeight="1">
      <x:c r="A22" s="27" t="n">
        <x:v>0</x:v>
      </x:c>
      <x:c r="B22" s="27" t="n">
        <x:v>2</x:v>
      </x:c>
      <x:c r="C22" s="28" t="str">
        <x:v>documents_train3_20261002_120822_9zuqtymn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</x:row>
    <x:row r="23" ht="24" customHeight="1">
      <x:c r="A23" s="27" t="n">
        <x:v>0</x:v>
      </x:c>
      <x:c r="B23" s="27" t="n">
        <x:v>3</x:v>
      </x:c>
      <x:c r="C23" s="28" t="str">
        <x:v>documents_train3_20261002_120822_9zuqtymn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</x:row>
    <x:row r="24" ht="24" customHeight="1">
      <x:c r="A24" s="27" t="n">
        <x:v>1</x:v>
      </x:c>
      <x:c r="B24" s="27" t="n">
        <x:v>1</x:v>
      </x:c>
      <x:c r="C24" s="28" t="str">
        <x:v>documents_train3_20261003_101628_qj26zyv6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</x:row>
    <x:row r="25" ht="24" customHeight="1">
      <x:c r="A25" s="27" t="n">
        <x:v>1</x:v>
      </x:c>
      <x:c r="B25" s="27" t="n">
        <x:v>2</x:v>
      </x:c>
      <x:c r="C25" s="28" t="str">
        <x:v>documents_train3_20261003_101628_qj26zyv6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</x:row>
    <x:row r="26" ht="24" customHeight="1">
      <x:c r="A26" s="27" t="n">
        <x:v>1</x:v>
      </x:c>
      <x:c r="B26" s="27" t="n">
        <x:v>3</x:v>
      </x:c>
      <x:c r="C26" s="28" t="str">
        <x:v>documents_train3_20260930_211221_7jwxugj5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</x:row>
    <x:row r="27" ht="24" customHeight="1">
      <x:c r="A27" s="27" t="n">
        <x:v>2</x:v>
      </x:c>
      <x:c r="B27" s="27" t="n">
        <x:v>1</x:v>
      </x:c>
      <x:c r="C27" s="28" t="str">
        <x:v>documents_train3_20261002_081135_d2pyas5e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</x:row>
    <x:row r="28" ht="24" customHeight="1">
      <x:c r="A28" s="27" t="n">
        <x:v>2</x:v>
      </x:c>
      <x:c r="B28" s="27" t="n">
        <x:v>2</x:v>
      </x:c>
      <x:c r="C28" s="28" t="str">
        <x:v>documents_train3_20261002_081135_d2pyas5e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</x:row>
    <x:row r="29" ht="24" customHeight="1">
      <x:c r="A29" s="27" t="n">
        <x:v>2</x:v>
      </x:c>
      <x:c r="B29" s="27" t="n">
        <x:v>3</x:v>
      </x:c>
      <x:c r="C29" s="28" t="str">
        <x:v>documents_train3_20261002_081135_d2pyas5e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</x:row>
  </x:sheetData>
  <x:pageMargins left="0.7" right="0.7" top="0.75" bottom="0.75" header="0.3" footer="0.3"/>
</x:worksheet>
</file>