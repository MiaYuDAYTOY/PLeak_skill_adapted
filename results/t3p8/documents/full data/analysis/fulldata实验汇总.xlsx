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a/PLeak_skill_adapted/results/t3p8/documents/full data/analysis/"/>
    </mc:Choice>
  </mc:AlternateContent>
  <xr:revisionPtr revIDLastSave="0" documentId="13_ncr:1_{4CF45D08-BD49-8A40-A73D-083844AED58E}" xr6:coauthVersionLast="47" xr6:coauthVersionMax="47" xr10:uidLastSave="{00000000-0000-0000-0000-000000000000}"/>
  <bookViews>
    <workbookView xWindow="4420" yWindow="660" windowWidth="24980" windowHeight="17280" xr2:uid="{00000000-000D-0000-FFFF-FFFF00000000}"/>
  </bookViews>
  <sheets>
    <sheet name="总平均" sheetId="1" r:id="rId1"/>
    <sheet name="按sample_seed平均" sheetId="2" r:id="rId2"/>
    <sheet name="按attack_seed平均" sheetId="3" r:id="rId3"/>
    <sheet name="九次实验总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4" l="1"/>
  <c r="P13" i="4"/>
  <c r="P12" i="4"/>
  <c r="P11" i="4"/>
  <c r="P10" i="4"/>
  <c r="P9" i="4"/>
  <c r="P8" i="4"/>
  <c r="P7" i="4"/>
  <c r="P6" i="4"/>
  <c r="D25" i="3"/>
  <c r="F5" i="3"/>
  <c r="E5" i="3"/>
  <c r="D5" i="3"/>
  <c r="F5" i="2"/>
  <c r="E5" i="2"/>
  <c r="D5" i="2"/>
  <c r="D5" i="1"/>
  <c r="F18" i="2" l="1"/>
  <c r="F15" i="2"/>
  <c r="F24" i="2"/>
  <c r="F23" i="2"/>
  <c r="F16" i="2"/>
  <c r="F17" i="2"/>
  <c r="F20" i="2"/>
  <c r="F21" i="2"/>
  <c r="F22" i="2"/>
  <c r="F14" i="2"/>
  <c r="F26" i="2"/>
  <c r="F27" i="2"/>
  <c r="F25" i="2"/>
  <c r="E8" i="2"/>
  <c r="E21" i="2"/>
  <c r="E22" i="2"/>
  <c r="E16" i="2"/>
  <c r="E20" i="2"/>
  <c r="E17" i="2"/>
  <c r="E14" i="2"/>
  <c r="E26" i="2"/>
  <c r="E27" i="2"/>
  <c r="E18" i="2"/>
  <c r="E24" i="2"/>
  <c r="E15" i="2"/>
  <c r="E19" i="2"/>
  <c r="E23" i="2"/>
  <c r="D20" i="2"/>
  <c r="D19" i="2"/>
  <c r="D25" i="2"/>
  <c r="D18" i="2"/>
  <c r="D22" i="2"/>
  <c r="D24" i="2"/>
  <c r="D17" i="2"/>
  <c r="D23" i="2"/>
  <c r="D21" i="2"/>
  <c r="D16" i="2"/>
  <c r="D26" i="2"/>
  <c r="D15" i="2"/>
  <c r="D27" i="2"/>
  <c r="F27" i="3"/>
  <c r="F19" i="3"/>
  <c r="F18" i="3"/>
  <c r="F17" i="3"/>
  <c r="F20" i="3"/>
  <c r="F16" i="3"/>
  <c r="F15" i="3"/>
  <c r="F21" i="3"/>
  <c r="F14" i="3"/>
  <c r="F22" i="3"/>
  <c r="F12" i="3"/>
  <c r="F11" i="3"/>
  <c r="F23" i="3"/>
  <c r="F9" i="3"/>
  <c r="F13" i="3"/>
  <c r="F10" i="3"/>
  <c r="F24" i="3"/>
  <c r="F8" i="3"/>
  <c r="F7" i="3"/>
  <c r="F26" i="3"/>
  <c r="F6" i="3"/>
  <c r="F25" i="3"/>
  <c r="E16" i="3"/>
  <c r="E17" i="3"/>
  <c r="E21" i="3"/>
  <c r="E15" i="3"/>
  <c r="E14" i="3"/>
  <c r="E22" i="3"/>
  <c r="E13" i="3"/>
  <c r="E23" i="3"/>
  <c r="E10" i="3"/>
  <c r="E24" i="3"/>
  <c r="E8" i="3"/>
  <c r="E12" i="3"/>
  <c r="E11" i="3"/>
  <c r="E9" i="3"/>
  <c r="E25" i="3"/>
  <c r="E7" i="3"/>
  <c r="E20" i="3"/>
  <c r="E18" i="3"/>
  <c r="E6" i="3"/>
  <c r="E26" i="3"/>
  <c r="E19" i="3"/>
  <c r="E27" i="3"/>
  <c r="D22" i="3"/>
  <c r="D27" i="3"/>
  <c r="D19" i="3"/>
  <c r="D20" i="3"/>
  <c r="D18" i="3"/>
  <c r="D17" i="3"/>
  <c r="D21" i="3"/>
  <c r="D16" i="3"/>
  <c r="D15" i="3"/>
  <c r="D14" i="3"/>
  <c r="D13" i="3"/>
  <c r="D23" i="3"/>
  <c r="D12" i="3"/>
  <c r="D11" i="3"/>
  <c r="D24" i="3"/>
  <c r="D9" i="3"/>
  <c r="D10" i="3"/>
  <c r="D8" i="3"/>
  <c r="D7" i="3"/>
  <c r="D26" i="3"/>
  <c r="D6" i="3"/>
  <c r="F13" i="2"/>
  <c r="F19" i="2"/>
  <c r="F12" i="2"/>
  <c r="F11" i="2"/>
  <c r="F10" i="2"/>
  <c r="F9" i="2"/>
  <c r="F8" i="2"/>
  <c r="F7" i="2"/>
  <c r="F6" i="2"/>
  <c r="E6" i="2"/>
  <c r="E9" i="2"/>
  <c r="E25" i="2"/>
  <c r="E13" i="2"/>
  <c r="E7" i="2"/>
  <c r="E12" i="2"/>
  <c r="E11" i="2"/>
  <c r="E10" i="2"/>
  <c r="D10" i="2"/>
  <c r="D12" i="2"/>
  <c r="D9" i="2"/>
  <c r="D14" i="2"/>
  <c r="D7" i="2"/>
  <c r="D13" i="2"/>
  <c r="D11" i="2"/>
  <c r="D8" i="2"/>
  <c r="D6" i="2"/>
  <c r="D19" i="1"/>
  <c r="D23" i="1"/>
  <c r="D27" i="1"/>
  <c r="D26" i="1"/>
  <c r="D24" i="1"/>
  <c r="D21" i="1"/>
  <c r="D20" i="1"/>
  <c r="D25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22" i="1"/>
</calcChain>
</file>

<file path=xl/sharedStrings.xml><?xml version="1.0" encoding="utf-8"?>
<sst xmlns="http://schemas.openxmlformats.org/spreadsheetml/2006/main" count="252" uniqueCount="68">
  <si>
    <t>documents fulldata：总平均</t>
  </si>
  <si>
    <t>指标</t>
  </si>
  <si>
    <t>原始字段</t>
  </si>
  <si>
    <t>单位</t>
  </si>
  <si>
    <t>总平均</t>
  </si>
  <si>
    <t>实验次数</t>
  </si>
  <si>
    <t>run_count</t>
  </si>
  <si>
    <t>次</t>
  </si>
  <si>
    <t>完整原文前缀泄漏率</t>
  </si>
  <si>
    <t>full_skill_leak_rate</t>
  </si>
  <si>
    <t>比例</t>
  </si>
  <si>
    <t>正文 ROUGE-L recall</t>
  </si>
  <si>
    <t>mean_body_rougeL_recall</t>
  </si>
  <si>
    <t>正文 ROUGE-L precision</t>
  </si>
  <si>
    <t>mean_body_rougeL_precision</t>
  </si>
  <si>
    <t>正文 ROUGE-2 recall</t>
  </si>
  <si>
    <t>mean_body_rouge2_recall</t>
  </si>
  <si>
    <t>全文 ROUGE-L recall</t>
  </si>
  <si>
    <t>mean_rougeL_recall</t>
  </si>
  <si>
    <t>全文 ROUGE-L precision</t>
  </si>
  <si>
    <t>mean_rougeL_precision</t>
  </si>
  <si>
    <t>全文 ROUGE-2 recall</t>
  </si>
  <si>
    <t>mean_rouge2_recall</t>
  </si>
  <si>
    <t>Token recall</t>
  </si>
  <si>
    <t>mean_token_recall</t>
  </si>
  <si>
    <t>Token precision</t>
  </si>
  <si>
    <t>mean_token_precision</t>
  </si>
  <si>
    <t>公共前缀比例</t>
  </si>
  <si>
    <t>mean_common_prefix_ratio</t>
  </si>
  <si>
    <t>Markdown 精确匹配率</t>
  </si>
  <si>
    <t>exact_markdown_match_rate</t>
  </si>
  <si>
    <t>Token 精确匹配率</t>
  </si>
  <si>
    <t>exact_token_match_rate</t>
  </si>
  <si>
    <t>EOS 比例</t>
  </si>
  <si>
    <t>eos_rate</t>
  </si>
  <si>
    <t>空内容输出率</t>
  </si>
  <si>
    <t>empty_content_rate</t>
  </si>
  <si>
    <t>测试样本数</t>
  </si>
  <si>
    <t>total_samples</t>
  </si>
  <si>
    <t>篇/实验</t>
  </si>
  <si>
    <t>有效评估样本数</t>
  </si>
  <si>
    <t>evaluated_samples</t>
  </si>
  <si>
    <t>生成失败样本数</t>
  </si>
  <si>
    <t>failed_samples</t>
  </si>
  <si>
    <t>完整原文前缀泄漏数</t>
  </si>
  <si>
    <t>full_skill_leak_count</t>
  </si>
  <si>
    <t>空内容输出数</t>
  </si>
  <si>
    <t>empty_content_count</t>
  </si>
  <si>
    <t>正文 RL recall ≥ 0.5 数</t>
  </si>
  <si>
    <t>body_rougeL_ge_0_5_count</t>
  </si>
  <si>
    <t>正文 RL recall ≥ 0.9 数</t>
  </si>
  <si>
    <t>body_rougeL_ge_0_9_count</t>
  </si>
  <si>
    <t>输出 token 数中位数</t>
  </si>
  <si>
    <t>median_prediction_tokens</t>
  </si>
  <si>
    <t>token/实验</t>
  </si>
  <si>
    <t>documents fulldata：按 sample_seed 平均</t>
  </si>
  <si>
    <t>sample_seed = 0</t>
  </si>
  <si>
    <t>sample_seed = 1</t>
  </si>
  <si>
    <t>sample_seed = 2</t>
  </si>
  <si>
    <t>documents fulldata：按 attack_seed 平均</t>
  </si>
  <si>
    <t>attack_seed = 1</t>
  </si>
  <si>
    <t>attack_seed = 2</t>
  </si>
  <si>
    <t>attack_seed = 3</t>
  </si>
  <si>
    <t>documents fulldata：九次实验总表</t>
  </si>
  <si>
    <t>train_num=3；prefix_length=8；trigger_length=12；shadow/target=llama；dtype=bfloat16；gradient checkpointing=true</t>
  </si>
  <si>
    <t>sample_seed</t>
  </si>
  <si>
    <t>attack_seed</t>
  </si>
  <si>
    <t>Metirc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</si>
</sst>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name val="Carlito"/>
    </font>
    <font>
      <sz val="11"/>
      <color rgb="FF182B3A"/>
      <name val="Arial"/>
      <family val="2"/>
    </font>
    <font>
      <b/>
      <sz val="16"/>
      <color rgb="FF243B53"/>
      <name val="Arial"/>
      <family val="2"/>
    </font>
    <font>
      <i/>
      <sz val="11"/>
      <color rgb="FF52667A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DF2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horizontal="right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right" vertical="center"/>
    </xf>
    <xf numFmtId="10" fontId="1" fillId="0" borderId="0" xfId="1" applyNumberFormat="1" applyFont="1" applyAlignment="1">
      <alignment horizontal="right" vertical="center"/>
    </xf>
    <xf numFmtId="10" fontId="1" fillId="3" borderId="0" xfId="1" applyNumberFormat="1" applyFont="1" applyFill="1" applyAlignment="1">
      <alignment horizontal="right" vertical="center"/>
    </xf>
    <xf numFmtId="1" fontId="1" fillId="0" borderId="0" xfId="1" applyNumberFormat="1" applyFont="1" applyAlignment="1">
      <alignment horizontal="right" vertical="center"/>
    </xf>
    <xf numFmtId="1" fontId="1" fillId="3" borderId="0" xfId="1" applyNumberFormat="1" applyFont="1" applyFill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176" fontId="1" fillId="3" borderId="0" xfId="1" applyNumberFormat="1" applyFont="1" applyFill="1" applyAlignment="1">
      <alignment horizontal="right" vertical="center"/>
    </xf>
    <xf numFmtId="0" fontId="1" fillId="3" borderId="0" xfId="1" applyFont="1" applyFill="1" applyAlignment="1">
      <alignment vertical="center"/>
    </xf>
    <xf numFmtId="2" fontId="1" fillId="3" borderId="0" xfId="1" applyNumberFormat="1" applyFont="1" applyFill="1" applyAlignment="1">
      <alignment horizontal="right" vertical="center"/>
    </xf>
    <xf numFmtId="2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4">
    <dxf>
      <font>
        <color rgb="FF805B22"/>
      </font>
      <fill>
        <patternFill patternType="solid">
          <bgColor rgb="FFFFF4DF"/>
        </patternFill>
      </fill>
    </dxf>
    <dxf>
      <font>
        <color rgb="FF805B22"/>
      </font>
      <fill>
        <patternFill patternType="solid">
          <bgColor rgb="FFFFF4DF"/>
        </patternFill>
      </fill>
    </dxf>
    <dxf>
      <font>
        <color rgb="FF805B22"/>
      </font>
      <fill>
        <patternFill patternType="solid">
          <bgColor rgb="FFFFF4DF"/>
        </patternFill>
      </fill>
    </dxf>
    <dxf>
      <font>
        <color rgb="FF805B22"/>
      </font>
      <fill>
        <patternFill patternType="solid">
          <bgColor rgb="FFFF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D28"/>
  <sheetViews>
    <sheetView showGridLines="0" tabSelected="1" workbookViewId="0">
      <selection activeCell="A3" sqref="A3:XFD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4" width="24" customWidth="1"/>
  </cols>
  <sheetData>
    <row r="1" spans="1:4" ht="9" customHeight="1">
      <c r="A1" s="1"/>
      <c r="B1" s="1"/>
      <c r="C1" s="1"/>
      <c r="D1" s="1"/>
    </row>
    <row r="2" spans="1:4" ht="30" customHeight="1">
      <c r="A2" s="2" t="s">
        <v>0</v>
      </c>
      <c r="B2" s="3"/>
      <c r="C2" s="3"/>
      <c r="D2" s="3"/>
    </row>
    <row r="3" spans="1:4" ht="24" customHeight="1">
      <c r="A3" s="1"/>
      <c r="B3" s="1"/>
      <c r="C3" s="1"/>
      <c r="D3" s="1"/>
    </row>
    <row r="4" spans="1:4" ht="40" customHeight="1">
      <c r="A4" s="6" t="s">
        <v>1</v>
      </c>
      <c r="B4" s="7" t="s">
        <v>67</v>
      </c>
      <c r="C4" s="7" t="s">
        <v>3</v>
      </c>
      <c r="D4" s="8" t="s">
        <v>4</v>
      </c>
    </row>
    <row r="5" spans="1:4" ht="24" customHeight="1">
      <c r="A5" s="1" t="s">
        <v>5</v>
      </c>
      <c r="B5" s="1" t="s">
        <v>6</v>
      </c>
      <c r="C5" s="1" t="s">
        <v>7</v>
      </c>
      <c r="D5" s="12">
        <f>COUNT(九次实验总表!$A$6:$A$14)</f>
        <v>9</v>
      </c>
    </row>
    <row r="6" spans="1:4" ht="24" customHeight="1">
      <c r="A6" s="16" t="s">
        <v>8</v>
      </c>
      <c r="B6" s="16" t="s">
        <v>9</v>
      </c>
      <c r="C6" s="16" t="s">
        <v>10</v>
      </c>
      <c r="D6" s="11">
        <f>IF(COUNT(九次实验总表!$C$6:$C$14)=D$5,AVERAGE(九次实验总表!$C$6:$C$14),"待补评")</f>
        <v>5.6508714596949887E-3</v>
      </c>
    </row>
    <row r="7" spans="1:4" ht="24" customHeight="1">
      <c r="A7" s="1" t="s">
        <v>11</v>
      </c>
      <c r="B7" s="1" t="s">
        <v>12</v>
      </c>
      <c r="C7" s="1" t="s">
        <v>10</v>
      </c>
      <c r="D7" s="10">
        <f>IF(COUNT(九次实验总表!$D$6:$D$14)=D$5,AVERAGE(九次实验总表!$D$6:$D$14),"待补评")</f>
        <v>0.17314809551528551</v>
      </c>
    </row>
    <row r="8" spans="1:4" ht="24" customHeight="1">
      <c r="A8" s="16" t="s">
        <v>13</v>
      </c>
      <c r="B8" s="16" t="s">
        <v>14</v>
      </c>
      <c r="C8" s="16" t="s">
        <v>10</v>
      </c>
      <c r="D8" s="11">
        <f>IF(COUNT(九次实验总表!$E$6:$E$14)=D$5,AVERAGE(九次实验总表!$E$6:$E$14),"待补评")</f>
        <v>0.18541495606800187</v>
      </c>
    </row>
    <row r="9" spans="1:4" ht="24" customHeight="1">
      <c r="A9" s="1" t="s">
        <v>15</v>
      </c>
      <c r="B9" s="1" t="s">
        <v>16</v>
      </c>
      <c r="C9" s="1" t="s">
        <v>10</v>
      </c>
      <c r="D9" s="10">
        <f>IF(COUNT(九次实验总表!$F$6:$F$14)=D$5,AVERAGE(九次实验总表!$F$6:$F$14),"待补评")</f>
        <v>0.13445715989654328</v>
      </c>
    </row>
    <row r="10" spans="1:4" ht="24" customHeight="1">
      <c r="A10" s="16" t="s">
        <v>17</v>
      </c>
      <c r="B10" s="16" t="s">
        <v>18</v>
      </c>
      <c r="C10" s="16" t="s">
        <v>10</v>
      </c>
      <c r="D10" s="11">
        <f>IF(COUNT(九次实验总表!$G$6:$G$14)=D$5,AVERAGE(九次实验总表!$G$6:$G$14),"待补评")</f>
        <v>0.16690623656724721</v>
      </c>
    </row>
    <row r="11" spans="1:4" ht="24" customHeight="1">
      <c r="A11" s="1" t="s">
        <v>19</v>
      </c>
      <c r="B11" s="1" t="s">
        <v>20</v>
      </c>
      <c r="C11" s="1" t="s">
        <v>10</v>
      </c>
      <c r="D11" s="10">
        <f>IF(COUNT(九次实验总表!$H$6:$H$14)=D$5,AVERAGE(九次实验总表!$H$6:$H$14),"待补评")</f>
        <v>0.24457878640206746</v>
      </c>
    </row>
    <row r="12" spans="1:4" ht="24" customHeight="1">
      <c r="A12" s="16" t="s">
        <v>21</v>
      </c>
      <c r="B12" s="16" t="s">
        <v>22</v>
      </c>
      <c r="C12" s="16" t="s">
        <v>10</v>
      </c>
      <c r="D12" s="11">
        <f>IF(COUNT(九次实验总表!$I$6:$I$14)=D$5,AVERAGE(九次实验总表!$I$6:$I$14),"待补评")</f>
        <v>0.1304647204384041</v>
      </c>
    </row>
    <row r="13" spans="1:4" ht="24" customHeight="1">
      <c r="A13" s="1" t="s">
        <v>23</v>
      </c>
      <c r="B13" s="1" t="s">
        <v>24</v>
      </c>
      <c r="C13" s="1" t="s">
        <v>10</v>
      </c>
      <c r="D13" s="10">
        <f>IF(COUNT(九次实验总表!$J$6:$J$14)=D$5,AVERAGE(九次实验总表!$J$6:$J$14),"待补评")</f>
        <v>0.21312323877886197</v>
      </c>
    </row>
    <row r="14" spans="1:4" ht="24" customHeight="1">
      <c r="A14" s="16" t="s">
        <v>25</v>
      </c>
      <c r="B14" s="16" t="s">
        <v>26</v>
      </c>
      <c r="C14" s="16" t="s">
        <v>10</v>
      </c>
      <c r="D14" s="11">
        <f>IF(COUNT(九次实验总表!$K$6:$K$14)=D$5,AVERAGE(九次实验总表!$K$6:$K$14),"待补评")</f>
        <v>0.29866031371273261</v>
      </c>
    </row>
    <row r="15" spans="1:4" ht="24" customHeight="1">
      <c r="A15" s="1" t="s">
        <v>27</v>
      </c>
      <c r="B15" s="1" t="s">
        <v>28</v>
      </c>
      <c r="C15" s="1" t="s">
        <v>10</v>
      </c>
      <c r="D15" s="10">
        <f>IF(COUNT(九次实验总表!$L$6:$L$14)=D$5,AVERAGE(九次实验总表!$L$6:$L$14),"待补评")</f>
        <v>1.2484398446764581E-2</v>
      </c>
    </row>
    <row r="16" spans="1:4" ht="24" customHeight="1">
      <c r="A16" s="16" t="s">
        <v>29</v>
      </c>
      <c r="B16" s="16" t="s">
        <v>30</v>
      </c>
      <c r="C16" s="16" t="s">
        <v>10</v>
      </c>
      <c r="D16" s="11">
        <f>IF(COUNT(九次实验总表!$M$6:$M$14)=D$5,AVERAGE(九次实验总表!$M$6:$M$14),"待补评")</f>
        <v>0</v>
      </c>
    </row>
    <row r="17" spans="1:4" ht="24" customHeight="1">
      <c r="A17" s="1" t="s">
        <v>31</v>
      </c>
      <c r="B17" s="1" t="s">
        <v>32</v>
      </c>
      <c r="C17" s="1" t="s">
        <v>10</v>
      </c>
      <c r="D17" s="10">
        <f>IF(COUNT(九次实验总表!$N$6:$N$14)=D$5,AVERAGE(九次实验总表!$N$6:$N$14),"待补评")</f>
        <v>0</v>
      </c>
    </row>
    <row r="18" spans="1:4" ht="24" customHeight="1">
      <c r="A18" s="16" t="s">
        <v>33</v>
      </c>
      <c r="B18" s="16" t="s">
        <v>34</v>
      </c>
      <c r="C18" s="16" t="s">
        <v>10</v>
      </c>
      <c r="D18" s="11">
        <f>IF(COUNT(九次实验总表!$O$6:$O$14)=D$5,AVERAGE(九次实验总表!$O$6:$O$14),"待补评")</f>
        <v>0.35547143857543018</v>
      </c>
    </row>
    <row r="19" spans="1:4" ht="24" customHeight="1">
      <c r="A19" s="1" t="s">
        <v>35</v>
      </c>
      <c r="B19" s="1" t="s">
        <v>36</v>
      </c>
      <c r="C19" s="1" t="s">
        <v>10</v>
      </c>
      <c r="D19" s="10">
        <f>IF(COUNT(九次实验总表!$P$6:$P$14)=D$5,AVERAGE(九次实验总表!$P$6:$P$14),"待补评")</f>
        <v>0.23757625272331154</v>
      </c>
    </row>
    <row r="20" spans="1:4" ht="24" customHeight="1">
      <c r="A20" s="16" t="s">
        <v>37</v>
      </c>
      <c r="B20" s="16" t="s">
        <v>38</v>
      </c>
      <c r="C20" s="16" t="s">
        <v>39</v>
      </c>
      <c r="D20" s="17">
        <f>IF(COUNT(九次实验总表!$Q$6:$Q$14)=D$5,AVERAGE(九次实验总表!$Q$6:$Q$14),"待补评")</f>
        <v>67.333333333333329</v>
      </c>
    </row>
    <row r="21" spans="1:4" ht="24" customHeight="1">
      <c r="A21" s="1" t="s">
        <v>40</v>
      </c>
      <c r="B21" s="1" t="s">
        <v>41</v>
      </c>
      <c r="C21" s="1" t="s">
        <v>39</v>
      </c>
      <c r="D21" s="18">
        <f>IF(COUNT(九次实验总表!$R$6:$R$14)=D$5,AVERAGE(九次实验总表!$R$6:$R$14),"待补评")</f>
        <v>57.888888888888886</v>
      </c>
    </row>
    <row r="22" spans="1:4" ht="24" customHeight="1">
      <c r="A22" s="16" t="s">
        <v>42</v>
      </c>
      <c r="B22" s="16" t="s">
        <v>43</v>
      </c>
      <c r="C22" s="16" t="s">
        <v>39</v>
      </c>
      <c r="D22" s="17">
        <f>IF(COUNT(九次实验总表!$S$6:$S$14)=D$5,AVERAGE(九次实验总表!$S$6:$S$14),"待补评")</f>
        <v>9.4444444444444446</v>
      </c>
    </row>
    <row r="23" spans="1:4" ht="24" customHeight="1">
      <c r="A23" s="1" t="s">
        <v>44</v>
      </c>
      <c r="B23" s="1" t="s">
        <v>45</v>
      </c>
      <c r="C23" s="1" t="s">
        <v>39</v>
      </c>
      <c r="D23" s="18">
        <f>IF(COUNT(九次实验总表!$T$6:$T$14)=D$5,AVERAGE(九次实验总表!$T$6:$T$14),"待补评")</f>
        <v>0.33333333333333331</v>
      </c>
    </row>
    <row r="24" spans="1:4" ht="24" customHeight="1">
      <c r="A24" s="16" t="s">
        <v>46</v>
      </c>
      <c r="B24" s="16" t="s">
        <v>47</v>
      </c>
      <c r="C24" s="16" t="s">
        <v>39</v>
      </c>
      <c r="D24" s="17">
        <f>IF(COUNT(九次实验总表!$U$6:$U$14)=D$5,AVERAGE(九次实验总表!$U$6:$U$14),"待补评")</f>
        <v>14.333333333333334</v>
      </c>
    </row>
    <row r="25" spans="1:4" ht="24" customHeight="1">
      <c r="A25" s="1" t="s">
        <v>48</v>
      </c>
      <c r="B25" s="1" t="s">
        <v>49</v>
      </c>
      <c r="C25" s="1" t="s">
        <v>39</v>
      </c>
      <c r="D25" s="18">
        <f>IF(COUNT(九次实验总表!$V$6:$V$14)=D$5,AVERAGE(九次实验总表!$V$6:$V$14),"待补评")</f>
        <v>5</v>
      </c>
    </row>
    <row r="26" spans="1:4" ht="24" customHeight="1">
      <c r="A26" s="16" t="s">
        <v>50</v>
      </c>
      <c r="B26" s="16" t="s">
        <v>51</v>
      </c>
      <c r="C26" s="16" t="s">
        <v>39</v>
      </c>
      <c r="D26" s="17">
        <f>IF(COUNT(九次实验总表!$W$6:$W$14)=D$5,AVERAGE(九次实验总表!$W$6:$W$14),"待补评")</f>
        <v>3.3333333333333335</v>
      </c>
    </row>
    <row r="27" spans="1:4" ht="24" customHeight="1">
      <c r="A27" s="1" t="s">
        <v>52</v>
      </c>
      <c r="B27" s="1" t="s">
        <v>53</v>
      </c>
      <c r="C27" s="1" t="s">
        <v>54</v>
      </c>
      <c r="D27" s="18">
        <f>IF(COUNT(九次实验总表!$X$6:$X$14)=D$5,AVERAGE(九次实验总表!$X$6:$X$14),"待补评")</f>
        <v>1063.7222222222222</v>
      </c>
    </row>
    <row r="28" spans="1:4" ht="24" customHeight="1">
      <c r="A28" s="1"/>
      <c r="B28" s="1"/>
      <c r="C28" s="1"/>
      <c r="D28" s="1"/>
    </row>
  </sheetData>
  <phoneticPr fontId="6" type="noConversion"/>
  <conditionalFormatting sqref="D6:D27">
    <cfRule type="containsText" dxfId="3" priority="1" operator="containsText" text="待补评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B53"/>
  </sheetPr>
  <dimension ref="A1:F28"/>
  <sheetViews>
    <sheetView showGridLines="0" workbookViewId="0">
      <selection activeCell="A3" sqref="A3:XFD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6" width="24" customWidth="1"/>
  </cols>
  <sheetData>
    <row r="1" spans="1:6" ht="9" customHeight="1">
      <c r="A1" s="1"/>
      <c r="B1" s="1"/>
      <c r="C1" s="1"/>
      <c r="D1" s="1"/>
      <c r="E1" s="1"/>
      <c r="F1" s="1"/>
    </row>
    <row r="2" spans="1:6" ht="30" customHeight="1">
      <c r="A2" s="2" t="s">
        <v>55</v>
      </c>
      <c r="B2" s="3"/>
      <c r="C2" s="3"/>
      <c r="D2" s="3"/>
      <c r="E2" s="3"/>
      <c r="F2" s="3"/>
    </row>
    <row r="3" spans="1:6" ht="24" customHeight="1">
      <c r="A3" s="1"/>
      <c r="B3" s="1"/>
      <c r="C3" s="1"/>
      <c r="D3" s="1"/>
      <c r="E3" s="1"/>
      <c r="F3" s="1"/>
    </row>
    <row r="4" spans="1:6" ht="40" customHeight="1">
      <c r="A4" s="6" t="s">
        <v>1</v>
      </c>
      <c r="B4" s="7" t="s">
        <v>2</v>
      </c>
      <c r="C4" s="7" t="s">
        <v>3</v>
      </c>
      <c r="D4" s="7" t="s">
        <v>56</v>
      </c>
      <c r="E4" s="7" t="s">
        <v>57</v>
      </c>
      <c r="F4" s="8" t="s">
        <v>58</v>
      </c>
    </row>
    <row r="5" spans="1:6" ht="24" customHeight="1">
      <c r="A5" s="1" t="s">
        <v>5</v>
      </c>
      <c r="B5" s="1" t="s">
        <v>6</v>
      </c>
      <c r="C5" s="1" t="s">
        <v>7</v>
      </c>
      <c r="D5" s="12">
        <f>COUNTIFS(九次实验总表!$A$6:$A$14,0)</f>
        <v>3</v>
      </c>
      <c r="E5" s="12">
        <f>COUNTIFS(九次实验总表!$A$6:$A$14,1)</f>
        <v>3</v>
      </c>
      <c r="F5" s="12">
        <f>COUNTIFS(九次实验总表!$A$6:$A$14,2)</f>
        <v>3</v>
      </c>
    </row>
    <row r="6" spans="1:6" ht="24" customHeight="1">
      <c r="A6" s="16" t="s">
        <v>8</v>
      </c>
      <c r="B6" s="16" t="s">
        <v>9</v>
      </c>
      <c r="C6" s="16" t="s">
        <v>10</v>
      </c>
      <c r="D6" s="11">
        <f>IF(COUNTIFS(九次实验总表!$A$6:$A$14,0,九次实验总表!$C$6:$C$14,"&gt;=0")=D$5,AVERAGEIFS(九次实验总表!$C$6:$C$14,九次实验总表!$A$6:$A$14,0),"待补评")</f>
        <v>0</v>
      </c>
      <c r="E6" s="11">
        <f>IF(COUNTIFS(九次实验总表!$A$6:$A$14,1,九次实验总表!$C$6:$C$14,"&gt;=0")=E$5,AVERAGEIFS(九次实验总表!$C$6:$C$14,九次实验总表!$A$6:$A$14,1),"待补评")</f>
        <v>1.0416666666666666E-2</v>
      </c>
      <c r="F6" s="11">
        <f>IF(COUNTIFS(九次实验总表!$A$6:$A$14,2,九次实验总表!$C$6:$C$14,"&gt;=0")=F$5,AVERAGEIFS(九次实验总表!$C$6:$C$14,九次实验总表!$A$6:$A$14,2),"待补评")</f>
        <v>6.5359477124183009E-3</v>
      </c>
    </row>
    <row r="7" spans="1:6" ht="24" customHeight="1">
      <c r="A7" s="1" t="s">
        <v>11</v>
      </c>
      <c r="B7" s="1" t="s">
        <v>12</v>
      </c>
      <c r="C7" s="1" t="s">
        <v>10</v>
      </c>
      <c r="D7" s="10">
        <f>IF(COUNTIFS(九次实验总表!$A$6:$A$14,0,九次实验总表!$D$6:$D$14,"&gt;=0")=D$5,AVERAGEIFS(九次实验总表!$D$6:$D$14,九次实验总表!$A$6:$A$14,0),"待补评")</f>
        <v>8.9803583496853759E-2</v>
      </c>
      <c r="E7" s="10">
        <f>IF(COUNTIFS(九次实验总表!$A$6:$A$14,1,九次实验总表!$D$6:$D$14,"&gt;=0")=E$5,AVERAGEIFS(九次实验总表!$D$6:$D$14,九次实验总表!$A$6:$A$14,1),"待补评")</f>
        <v>0.19557863576753731</v>
      </c>
      <c r="F7" s="10">
        <f>IF(COUNTIFS(九次实验总表!$A$6:$A$14,2,九次实验总表!$D$6:$D$14,"&gt;=0")=F$5,AVERAGEIFS(九次实验总表!$D$6:$D$14,九次实验总表!$A$6:$A$14,2),"待补评")</f>
        <v>0.23406206728146547</v>
      </c>
    </row>
    <row r="8" spans="1:6" ht="24" customHeight="1">
      <c r="A8" s="16" t="s">
        <v>13</v>
      </c>
      <c r="B8" s="16" t="s">
        <v>14</v>
      </c>
      <c r="C8" s="16" t="s">
        <v>10</v>
      </c>
      <c r="D8" s="11">
        <f>IF(COUNTIFS(九次实验总表!$A$6:$A$14,0,九次实验总表!$E$6:$E$14,"&gt;=0")=D$5,AVERAGEIFS(九次实验总表!$E$6:$E$14,九次实验总表!$A$6:$A$14,0),"待补评")</f>
        <v>0.10483080065471707</v>
      </c>
      <c r="E8" s="11">
        <f>IF(COUNTIFS(九次实验总表!$A$6:$A$14,1,九次实验总表!$E$6:$E$14,"&gt;=0")=E$5,AVERAGEIFS(九次实验总表!$E$6:$E$14,九次实验总表!$A$6:$A$14,1),"待补评")</f>
        <v>0.2076760112206095</v>
      </c>
      <c r="F8" s="11">
        <f>IF(COUNTIFS(九次实验总表!$A$6:$A$14,2,九次实验总表!$E$6:$E$14,"&gt;=0")=F$5,AVERAGEIFS(九次实验总表!$E$6:$E$14,九次实验总表!$A$6:$A$14,2),"待补评")</f>
        <v>0.24373805632867909</v>
      </c>
    </row>
    <row r="9" spans="1:6" ht="24" customHeight="1">
      <c r="A9" s="1" t="s">
        <v>15</v>
      </c>
      <c r="B9" s="1" t="s">
        <v>16</v>
      </c>
      <c r="C9" s="1" t="s">
        <v>10</v>
      </c>
      <c r="D9" s="10">
        <f>IF(COUNTIFS(九次实验总表!$A$6:$A$14,0,九次实验总表!$F$6:$F$14,"&gt;=0")=D$5,AVERAGEIFS(九次实验总表!$F$6:$F$14,九次实验总表!$A$6:$A$14,0),"待补评")</f>
        <v>5.9464364746541661E-2</v>
      </c>
      <c r="E9" s="10">
        <f>IF(COUNTIFS(九次实验总表!$A$6:$A$14,1,九次实验总表!$F$6:$F$14,"&gt;=0")=E$5,AVERAGEIFS(九次实验总表!$F$6:$F$14,九次实验总表!$A$6:$A$14,1),"待补评")</f>
        <v>0.16032774905619238</v>
      </c>
      <c r="F9" s="10">
        <f>IF(COUNTIFS(九次实验总表!$A$6:$A$14,2,九次实验总表!$F$6:$F$14,"&gt;=0")=F$5,AVERAGEIFS(九次实验总表!$F$6:$F$14,九次实验总表!$A$6:$A$14,2),"待补评")</f>
        <v>0.18357936588689586</v>
      </c>
    </row>
    <row r="10" spans="1:6" ht="24" customHeight="1">
      <c r="A10" s="16" t="s">
        <v>17</v>
      </c>
      <c r="B10" s="16" t="s">
        <v>18</v>
      </c>
      <c r="C10" s="16" t="s">
        <v>10</v>
      </c>
      <c r="D10" s="11">
        <f>IF(COUNTIFS(九次实验总表!$A$6:$A$14,0,九次实验总表!$G$6:$G$14,"&gt;=0")=D$5,AVERAGEIFS(九次实验总表!$G$6:$G$14,九次实验总表!$A$6:$A$14,0),"待补评")</f>
        <v>8.6601445355994858E-2</v>
      </c>
      <c r="E10" s="11">
        <f>IF(COUNTIFS(九次实验总表!$A$6:$A$14,1,九次实验总表!$G$6:$G$14,"&gt;=0")=E$5,AVERAGEIFS(九次实验总表!$G$6:$G$14,九次实验总表!$A$6:$A$14,1),"待补评")</f>
        <v>0.18648692748144591</v>
      </c>
      <c r="F10" s="11">
        <f>IF(COUNTIFS(九次实验总表!$A$6:$A$14,2,九次实验总表!$G$6:$G$14,"&gt;=0")=F$5,AVERAGEIFS(九次实验总表!$G$6:$G$14,九次实验总表!$A$6:$A$14,2),"待补评")</f>
        <v>0.22763033686430087</v>
      </c>
    </row>
    <row r="11" spans="1:6" ht="24" customHeight="1">
      <c r="A11" s="1" t="s">
        <v>19</v>
      </c>
      <c r="B11" s="1" t="s">
        <v>20</v>
      </c>
      <c r="C11" s="1" t="s">
        <v>10</v>
      </c>
      <c r="D11" s="10">
        <f>IF(COUNTIFS(九次实验总表!$A$6:$A$14,0,九次实验总表!$H$6:$H$14,"&gt;=0")=D$5,AVERAGEIFS(九次实验总表!$H$6:$H$14,九次实验总表!$A$6:$A$14,0),"待补评")</f>
        <v>0.11775179301181719</v>
      </c>
      <c r="E11" s="10">
        <f>IF(COUNTIFS(九次实验总表!$A$6:$A$14,1,九次实验总表!$H$6:$H$14,"&gt;=0")=E$5,AVERAGEIFS(九次实验总表!$H$6:$H$14,九次实验总表!$A$6:$A$14,1),"待补评")</f>
        <v>0.35271302785852671</v>
      </c>
      <c r="F11" s="10">
        <f>IF(COUNTIFS(九次实验总表!$A$6:$A$14,2,九次实验总表!$H$6:$H$14,"&gt;=0")=F$5,AVERAGEIFS(九次实验总表!$H$6:$H$14,九次实验总表!$A$6:$A$14,2),"待补评")</f>
        <v>0.26327153833585842</v>
      </c>
    </row>
    <row r="12" spans="1:6" ht="24" customHeight="1">
      <c r="A12" s="16" t="s">
        <v>21</v>
      </c>
      <c r="B12" s="16" t="s">
        <v>22</v>
      </c>
      <c r="C12" s="16" t="s">
        <v>10</v>
      </c>
      <c r="D12" s="11">
        <f>IF(COUNTIFS(九次实验总表!$A$6:$A$14,0,九次实验总表!$I$6:$I$14,"&gt;=0")=D$5,AVERAGEIFS(九次实验总表!$I$6:$I$14,九次实验总表!$A$6:$A$14,0),"待补评")</f>
        <v>5.7504699228830607E-2</v>
      </c>
      <c r="E12" s="11">
        <f>IF(COUNTIFS(九次实验总表!$A$6:$A$14,1,九次实验总表!$I$6:$I$14,"&gt;=0")=E$5,AVERAGEIFS(九次实验总表!$I$6:$I$14,九次实验总表!$A$6:$A$14,1),"待补评")</f>
        <v>0.15352691624464229</v>
      </c>
      <c r="F12" s="11">
        <f>IF(COUNTIFS(九次实验总表!$A$6:$A$14,2,九次实验总表!$I$6:$I$14,"&gt;=0")=F$5,AVERAGEIFS(九次实验总表!$I$6:$I$14,九次实验总表!$A$6:$A$14,2),"待补评")</f>
        <v>0.18036254584173941</v>
      </c>
    </row>
    <row r="13" spans="1:6" ht="24" customHeight="1">
      <c r="A13" s="1" t="s">
        <v>23</v>
      </c>
      <c r="B13" s="1" t="s">
        <v>24</v>
      </c>
      <c r="C13" s="1" t="s">
        <v>10</v>
      </c>
      <c r="D13" s="10">
        <f>IF(COUNTIFS(九次实验总表!$A$6:$A$14,0,九次实验总表!$J$6:$J$14,"&gt;=0")=D$5,AVERAGEIFS(九次实验总表!$J$6:$J$14,九次实验总表!$A$6:$A$14,0),"待补评")</f>
        <v>0.12510047225129306</v>
      </c>
      <c r="E13" s="10">
        <f>IF(COUNTIFS(九次实验总表!$A$6:$A$14,1,九次实验总表!$J$6:$J$14,"&gt;=0")=E$5,AVERAGEIFS(九次实验总表!$J$6:$J$14,九次实验总表!$A$6:$A$14,1),"待补评")</f>
        <v>0.22625097593272228</v>
      </c>
      <c r="F13" s="10">
        <f>IF(COUNTIFS(九次实验总表!$A$6:$A$14,2,九次实验总表!$J$6:$J$14,"&gt;=0")=F$5,AVERAGEIFS(九次实验总表!$J$6:$J$14,九次实验总表!$A$6:$A$14,2),"待补评")</f>
        <v>0.28801826815257064</v>
      </c>
    </row>
    <row r="14" spans="1:6" ht="24" customHeight="1">
      <c r="A14" s="16" t="s">
        <v>25</v>
      </c>
      <c r="B14" s="16" t="s">
        <v>26</v>
      </c>
      <c r="C14" s="16" t="s">
        <v>10</v>
      </c>
      <c r="D14" s="11">
        <f>IF(COUNTIFS(九次实验总表!$A$6:$A$14,0,九次实验总表!$K$6:$K$14,"&gt;=0")=D$5,AVERAGEIFS(九次实验总表!$K$6:$K$14,九次实验总表!$A$6:$A$14,0),"待补评")</f>
        <v>0.16469015281612509</v>
      </c>
      <c r="E14" s="11">
        <f>IF(COUNTIFS(九次实验总表!$A$6:$A$14,1,九次实验总表!$K$6:$K$14,"&gt;=0")=E$5,AVERAGEIFS(九次实验总表!$K$6:$K$14,九次实验总表!$A$6:$A$14,1),"待补评")</f>
        <v>0.40221690442689573</v>
      </c>
      <c r="F14" s="11">
        <f>IF(COUNTIFS(九次实验总表!$A$6:$A$14,2,九次实验总表!$K$6:$K$14,"&gt;=0")=F$5,AVERAGEIFS(九次实验总表!$K$6:$K$14,九次实验总表!$A$6:$A$14,2),"待补评")</f>
        <v>0.32907388389517706</v>
      </c>
    </row>
    <row r="15" spans="1:6" ht="24" customHeight="1">
      <c r="A15" s="1" t="s">
        <v>27</v>
      </c>
      <c r="B15" s="1" t="s">
        <v>28</v>
      </c>
      <c r="C15" s="1" t="s">
        <v>10</v>
      </c>
      <c r="D15" s="10">
        <f>IF(COUNTIFS(九次实验总表!$A$6:$A$14,0,九次实验总表!$L$6:$L$14,"&gt;=0")=D$5,AVERAGEIFS(九次实验总表!$L$6:$L$14,九次实验总表!$A$6:$A$14,0),"待补评")</f>
        <v>1.6015661925226933E-3</v>
      </c>
      <c r="E15" s="10">
        <f>IF(COUNTIFS(九次实验总表!$A$6:$A$14,1,九次实验总表!$L$6:$L$14,"&gt;=0")=E$5,AVERAGEIFS(九次实验总表!$L$6:$L$14,九次实验总表!$A$6:$A$14,1),"待补评")</f>
        <v>2.0009050792449117E-2</v>
      </c>
      <c r="F15" s="10">
        <f>IF(COUNTIFS(九次实验总表!$A$6:$A$14,2,九次实验总表!$L$6:$L$14,"&gt;=0")=F$5,AVERAGEIFS(九次实验总表!$L$6:$L$14,九次实验总表!$A$6:$A$14,2),"待补评")</f>
        <v>1.5842578355321931E-2</v>
      </c>
    </row>
    <row r="16" spans="1:6" ht="24" customHeight="1">
      <c r="A16" s="16" t="s">
        <v>29</v>
      </c>
      <c r="B16" s="16" t="s">
        <v>30</v>
      </c>
      <c r="C16" s="16" t="s">
        <v>10</v>
      </c>
      <c r="D16" s="11">
        <f>IF(COUNTIFS(九次实验总表!$A$6:$A$14,0,九次实验总表!$M$6:$M$14,"&gt;=0")=D$5,AVERAGEIFS(九次实验总表!$M$6:$M$14,九次实验总表!$A$6:$A$14,0),"待补评")</f>
        <v>0</v>
      </c>
      <c r="E16" s="11">
        <f>IF(COUNTIFS(九次实验总表!$A$6:$A$14,1,九次实验总表!$M$6:$M$14,"&gt;=0")=E$5,AVERAGEIFS(九次实验总表!$M$6:$M$14,九次实验总表!$A$6:$A$14,1),"待补评")</f>
        <v>0</v>
      </c>
      <c r="F16" s="11">
        <f>IF(COUNTIFS(九次实验总表!$A$6:$A$14,2,九次实验总表!$M$6:$M$14,"&gt;=0")=F$5,AVERAGEIFS(九次实验总表!$M$6:$M$14,九次实验总表!$A$6:$A$14,2),"待补评")</f>
        <v>0</v>
      </c>
    </row>
    <row r="17" spans="1:6" ht="24" customHeight="1">
      <c r="A17" s="1" t="s">
        <v>31</v>
      </c>
      <c r="B17" s="1" t="s">
        <v>32</v>
      </c>
      <c r="C17" s="1" t="s">
        <v>10</v>
      </c>
      <c r="D17" s="10">
        <f>IF(COUNTIFS(九次实验总表!$A$6:$A$14,0,九次实验总表!$N$6:$N$14,"&gt;=0")=D$5,AVERAGEIFS(九次实验总表!$N$6:$N$14,九次实验总表!$A$6:$A$14,0),"待补评")</f>
        <v>0</v>
      </c>
      <c r="E17" s="10">
        <f>IF(COUNTIFS(九次实验总表!$A$6:$A$14,1,九次实验总表!$N$6:$N$14,"&gt;=0")=E$5,AVERAGEIFS(九次实验总表!$N$6:$N$14,九次实验总表!$A$6:$A$14,1),"待补评")</f>
        <v>0</v>
      </c>
      <c r="F17" s="10">
        <f>IF(COUNTIFS(九次实验总表!$A$6:$A$14,2,九次实验总表!$N$6:$N$14,"&gt;=0")=F$5,AVERAGEIFS(九次实验总表!$N$6:$N$14,九次实验总表!$A$6:$A$14,2),"待补评")</f>
        <v>0</v>
      </c>
    </row>
    <row r="18" spans="1:6" ht="24" customHeight="1">
      <c r="A18" s="16" t="s">
        <v>33</v>
      </c>
      <c r="B18" s="16" t="s">
        <v>34</v>
      </c>
      <c r="C18" s="16" t="s">
        <v>10</v>
      </c>
      <c r="D18" s="11">
        <f>IF(COUNTIFS(九次实验总表!$A$6:$A$14,0,九次实验总表!$O$6:$O$14,"&gt;=0")=D$5,AVERAGEIFS(九次实验总表!$O$6:$O$14,九次实验总表!$A$6:$A$14,0),"待补评")</f>
        <v>0.47395833333333331</v>
      </c>
      <c r="E18" s="11">
        <f>IF(COUNTIFS(九次实验总表!$A$6:$A$14,1,九次实验总表!$O$6:$O$14,"&gt;=0")=E$5,AVERAGEIFS(九次实验总表!$O$6:$O$14,九次实验总表!$A$6:$A$14,1),"待补评")</f>
        <v>0.39256535947712418</v>
      </c>
      <c r="F18" s="11">
        <f>IF(COUNTIFS(九次实验总表!$A$6:$A$14,2,九次实验总表!$O$6:$O$14,"&gt;=0")=F$5,AVERAGEIFS(九次实验总表!$O$6:$O$14,九次实验总表!$A$6:$A$14,2),"待补评")</f>
        <v>0.19989062291583301</v>
      </c>
    </row>
    <row r="19" spans="1:6" ht="24" customHeight="1">
      <c r="A19" s="1" t="s">
        <v>35</v>
      </c>
      <c r="B19" s="1" t="s">
        <v>36</v>
      </c>
      <c r="C19" s="1" t="s">
        <v>10</v>
      </c>
      <c r="D19" s="10">
        <f>IF(COUNTIFS(九次实验总表!$A$6:$A$14,0,九次实验总表!$P$6:$P$14,"&gt;=0")=D$5,AVERAGEIFS(九次实验总表!$P$6:$P$14,九次实验总表!$A$6:$A$14,0),"待补评")</f>
        <v>0.41145833333333331</v>
      </c>
      <c r="E19" s="10">
        <f>IF(COUNTIFS(九次实验总表!$A$6:$A$14,1,九次实验总表!$P$6:$P$14,"&gt;=0")=E$5,AVERAGEIFS(九次实验总表!$P$6:$P$14,九次实验总表!$A$6:$A$14,1),"待补评")</f>
        <v>0.174734477124183</v>
      </c>
      <c r="F19" s="10">
        <f>IF(COUNTIFS(九次实验总表!$A$6:$A$14,2,九次实验总表!$P$6:$P$14,"&gt;=0")=F$5,AVERAGEIFS(九次实验总表!$P$6:$P$14,九次实验总表!$A$6:$A$14,2),"待补评")</f>
        <v>0.1265359477124183</v>
      </c>
    </row>
    <row r="20" spans="1:6" ht="24" customHeight="1">
      <c r="A20" s="16" t="s">
        <v>37</v>
      </c>
      <c r="B20" s="16" t="s">
        <v>38</v>
      </c>
      <c r="C20" s="16" t="s">
        <v>39</v>
      </c>
      <c r="D20" s="17">
        <f>IF(COUNTIFS(九次实验总表!$A$6:$A$14,0,九次实验总表!$Q$6:$Q$14,"&gt;=0")=D$5,AVERAGEIFS(九次实验总表!$Q$6:$Q$14,九次实验总表!$A$6:$A$14,0),"待补评")</f>
        <v>70</v>
      </c>
      <c r="E20" s="17">
        <f>IF(COUNTIFS(九次实验总表!$A$6:$A$14,1,九次实验总表!$Q$6:$Q$14,"&gt;=0")=E$5,AVERAGEIFS(九次实验总表!$Q$6:$Q$14,九次实验总表!$A$6:$A$14,1),"待补评")</f>
        <v>68</v>
      </c>
      <c r="F20" s="17">
        <f>IF(COUNTIFS(九次实验总表!$A$6:$A$14,2,九次实验总表!$Q$6:$Q$14,"&gt;=0")=F$5,AVERAGEIFS(九次实验总表!$Q$6:$Q$14,九次实验总表!$A$6:$A$14,2),"待补评")</f>
        <v>64</v>
      </c>
    </row>
    <row r="21" spans="1:6" ht="24" customHeight="1">
      <c r="A21" s="1" t="s">
        <v>40</v>
      </c>
      <c r="B21" s="1" t="s">
        <v>41</v>
      </c>
      <c r="C21" s="1" t="s">
        <v>39</v>
      </c>
      <c r="D21" s="18">
        <f>IF(COUNTIFS(九次实验总表!$A$6:$A$14,0,九次实验总表!$R$6:$R$14,"&gt;=0")=D$5,AVERAGEIFS(九次实验总表!$R$6:$R$14,九次实验总表!$A$6:$A$14,0),"待补评")</f>
        <v>64</v>
      </c>
      <c r="E21" s="18">
        <f>IF(COUNTIFS(九次实验总表!$A$6:$A$14,1,九次实验总表!$R$6:$R$14,"&gt;=0")=E$5,AVERAGEIFS(九次实验总表!$R$6:$R$14,九次实验总表!$A$6:$A$14,1),"待补评")</f>
        <v>59.666666666666664</v>
      </c>
      <c r="F21" s="18">
        <f>IF(COUNTIFS(九次实验总表!$A$6:$A$14,2,九次实验总表!$R$6:$R$14,"&gt;=0")=F$5,AVERAGEIFS(九次实验总表!$R$6:$R$14,九次实验总表!$A$6:$A$14,2),"待补评")</f>
        <v>50</v>
      </c>
    </row>
    <row r="22" spans="1:6" ht="24" customHeight="1">
      <c r="A22" s="16" t="s">
        <v>42</v>
      </c>
      <c r="B22" s="16" t="s">
        <v>43</v>
      </c>
      <c r="C22" s="16" t="s">
        <v>39</v>
      </c>
      <c r="D22" s="17">
        <f>IF(COUNTIFS(九次实验总表!$A$6:$A$14,0,九次实验总表!$S$6:$S$14,"&gt;=0")=D$5,AVERAGEIFS(九次实验总表!$S$6:$S$14,九次实验总表!$A$6:$A$14,0),"待补评")</f>
        <v>6</v>
      </c>
      <c r="E22" s="17">
        <f>IF(COUNTIFS(九次实验总表!$A$6:$A$14,1,九次实验总表!$S$6:$S$14,"&gt;=0")=E$5,AVERAGEIFS(九次实验总表!$S$6:$S$14,九次实验总表!$A$6:$A$14,1),"待补评")</f>
        <v>8.3333333333333339</v>
      </c>
      <c r="F22" s="17">
        <f>IF(COUNTIFS(九次实验总表!$A$6:$A$14,2,九次实验总表!$S$6:$S$14,"&gt;=0")=F$5,AVERAGEIFS(九次实验总表!$S$6:$S$14,九次实验总表!$A$6:$A$14,2),"待补评")</f>
        <v>14</v>
      </c>
    </row>
    <row r="23" spans="1:6" ht="24" customHeight="1">
      <c r="A23" s="1" t="s">
        <v>44</v>
      </c>
      <c r="B23" s="1" t="s">
        <v>45</v>
      </c>
      <c r="C23" s="1" t="s">
        <v>39</v>
      </c>
      <c r="D23" s="18">
        <f>IF(COUNTIFS(九次实验总表!$A$6:$A$14,0,九次实验总表!$T$6:$T$14,"&gt;=0")=D$5,AVERAGEIFS(九次实验总表!$T$6:$T$14,九次实验总表!$A$6:$A$14,0),"待补评")</f>
        <v>0</v>
      </c>
      <c r="E23" s="18">
        <f>IF(COUNTIFS(九次实验总表!$A$6:$A$14,1,九次实验总表!$T$6:$T$14,"&gt;=0")=E$5,AVERAGEIFS(九次实验总表!$T$6:$T$14,九次实验总表!$A$6:$A$14,1),"待补评")</f>
        <v>0.66666666666666663</v>
      </c>
      <c r="F23" s="18">
        <f>IF(COUNTIFS(九次实验总表!$A$6:$A$14,2,九次实验总表!$T$6:$T$14,"&gt;=0")=F$5,AVERAGEIFS(九次实验总表!$T$6:$T$14,九次实验总表!$A$6:$A$14,2),"待补评")</f>
        <v>0.33333333333333331</v>
      </c>
    </row>
    <row r="24" spans="1:6" ht="24" customHeight="1">
      <c r="A24" s="16" t="s">
        <v>46</v>
      </c>
      <c r="B24" s="16" t="s">
        <v>47</v>
      </c>
      <c r="C24" s="16" t="s">
        <v>39</v>
      </c>
      <c r="D24" s="17">
        <f>IF(COUNTIFS(九次实验总表!$A$6:$A$14,0,九次实验总表!$U$6:$U$14,"&gt;=0")=D$5,AVERAGEIFS(九次实验总表!$U$6:$U$14,九次实验总表!$A$6:$A$14,0),"待补评")</f>
        <v>26.333333333333332</v>
      </c>
      <c r="E24" s="17">
        <f>IF(COUNTIFS(九次实验总表!$A$6:$A$14,1,九次实验总表!$U$6:$U$14,"&gt;=0")=E$5,AVERAGEIFS(九次实验总表!$U$6:$U$14,九次实验总表!$A$6:$A$14,1),"待补评")</f>
        <v>10.333333333333334</v>
      </c>
      <c r="F24" s="17">
        <f>IF(COUNTIFS(九次实验总表!$A$6:$A$14,2,九次实验总表!$U$6:$U$14,"&gt;=0")=F$5,AVERAGEIFS(九次实验总表!$U$6:$U$14,九次实验总表!$A$6:$A$14,2),"待补评")</f>
        <v>6.333333333333333</v>
      </c>
    </row>
    <row r="25" spans="1:6" ht="24" customHeight="1">
      <c r="A25" s="1" t="s">
        <v>48</v>
      </c>
      <c r="B25" s="1" t="s">
        <v>49</v>
      </c>
      <c r="C25" s="1" t="s">
        <v>39</v>
      </c>
      <c r="D25" s="18">
        <f>IF(COUNTIFS(九次实验总表!$A$6:$A$14,0,九次实验总表!$V$6:$V$14,"&gt;=0")=D$5,AVERAGEIFS(九次实验总表!$V$6:$V$14,九次实验总表!$A$6:$A$14,0),"待补评")</f>
        <v>1.3333333333333333</v>
      </c>
      <c r="E25" s="18">
        <f>IF(COUNTIFS(九次实验总表!$A$6:$A$14,1,九次实验总表!$V$6:$V$14,"&gt;=0")=E$5,AVERAGEIFS(九次实验总表!$V$6:$V$14,九次实验总表!$A$6:$A$14,1),"待补评")</f>
        <v>7.666666666666667</v>
      </c>
      <c r="F25" s="18">
        <f>IF(COUNTIFS(九次实验总表!$A$6:$A$14,2,九次实验总表!$V$6:$V$14,"&gt;=0")=F$5,AVERAGEIFS(九次实验总表!$V$6:$V$14,九次实验总表!$A$6:$A$14,2),"待补评")</f>
        <v>6</v>
      </c>
    </row>
    <row r="26" spans="1:6" ht="24" customHeight="1">
      <c r="A26" s="16" t="s">
        <v>50</v>
      </c>
      <c r="B26" s="16" t="s">
        <v>51</v>
      </c>
      <c r="C26" s="16" t="s">
        <v>39</v>
      </c>
      <c r="D26" s="17">
        <f>IF(COUNTIFS(九次实验总表!$A$6:$A$14,0,九次实验总表!$W$6:$W$14,"&gt;=0")=D$5,AVERAGEIFS(九次实验总表!$W$6:$W$14,九次实验总表!$A$6:$A$14,0),"待补评")</f>
        <v>1</v>
      </c>
      <c r="E26" s="17">
        <f>IF(COUNTIFS(九次实验总表!$A$6:$A$14,1,九次实验总表!$W$6:$W$14,"&gt;=0")=E$5,AVERAGEIFS(九次实验总表!$W$6:$W$14,九次实验总表!$A$6:$A$14,1),"待补评")</f>
        <v>5.333333333333333</v>
      </c>
      <c r="F26" s="17">
        <f>IF(COUNTIFS(九次实验总表!$A$6:$A$14,2,九次实验总表!$W$6:$W$14,"&gt;=0")=F$5,AVERAGEIFS(九次实验总表!$W$6:$W$14,九次实验总表!$A$6:$A$14,2),"待补评")</f>
        <v>3.6666666666666665</v>
      </c>
    </row>
    <row r="27" spans="1:6" ht="24" customHeight="1">
      <c r="A27" s="1" t="s">
        <v>52</v>
      </c>
      <c r="B27" s="1" t="s">
        <v>53</v>
      </c>
      <c r="C27" s="1" t="s">
        <v>54</v>
      </c>
      <c r="D27" s="18">
        <f>IF(COUNTIFS(九次实验总表!$A$6:$A$14,0,九次实验总表!$X$6:$X$14,"&gt;=0")=D$5,AVERAGEIFS(九次实验总表!$X$6:$X$14,九次实验总表!$A$6:$A$14,0),"待补评")</f>
        <v>529.16666666666663</v>
      </c>
      <c r="E27" s="18">
        <f>IF(COUNTIFS(九次实验总表!$A$6:$A$14,1,九次实验总表!$X$6:$X$14,"&gt;=0")=E$5,AVERAGEIFS(九次实验总表!$X$6:$X$14,九次实验总表!$A$6:$A$14,1),"待补评")</f>
        <v>1191.1666666666667</v>
      </c>
      <c r="F27" s="18">
        <f>IF(COUNTIFS(九次实验总表!$A$6:$A$14,2,九次实验总表!$X$6:$X$14,"&gt;=0")=F$5,AVERAGEIFS(九次实验总表!$X$6:$X$14,九次实验总表!$A$6:$A$14,2),"待补评")</f>
        <v>1470.8333333333333</v>
      </c>
    </row>
    <row r="28" spans="1:6" ht="24" customHeight="1">
      <c r="A28" s="1"/>
      <c r="B28" s="1"/>
      <c r="C28" s="1"/>
      <c r="D28" s="1"/>
      <c r="E28" s="1"/>
      <c r="F28" s="1"/>
    </row>
  </sheetData>
  <phoneticPr fontId="6" type="noConversion"/>
  <conditionalFormatting sqref="D6:F27">
    <cfRule type="containsText" dxfId="2" priority="1" operator="containsText" text="待补评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B53"/>
  </sheetPr>
  <dimension ref="A1:F28"/>
  <sheetViews>
    <sheetView showGridLines="0" workbookViewId="0">
      <selection activeCell="A3" sqref="A3:XFD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6" width="24" customWidth="1"/>
  </cols>
  <sheetData>
    <row r="1" spans="1:6" ht="9" customHeight="1">
      <c r="A1" s="1"/>
      <c r="B1" s="1"/>
      <c r="C1" s="1"/>
      <c r="D1" s="1"/>
      <c r="E1" s="1"/>
      <c r="F1" s="1"/>
    </row>
    <row r="2" spans="1:6" ht="30" customHeight="1">
      <c r="A2" s="2" t="s">
        <v>59</v>
      </c>
      <c r="B2" s="3"/>
      <c r="C2" s="3"/>
      <c r="D2" s="3"/>
      <c r="E2" s="3"/>
      <c r="F2" s="3"/>
    </row>
    <row r="3" spans="1:6" ht="24" customHeight="1">
      <c r="A3" s="1"/>
      <c r="B3" s="1"/>
      <c r="C3" s="1"/>
      <c r="D3" s="1"/>
      <c r="E3" s="1"/>
      <c r="F3" s="1"/>
    </row>
    <row r="4" spans="1:6" ht="40" customHeight="1">
      <c r="A4" s="6" t="s">
        <v>1</v>
      </c>
      <c r="B4" s="7" t="s">
        <v>2</v>
      </c>
      <c r="C4" s="7" t="s">
        <v>3</v>
      </c>
      <c r="D4" s="7" t="s">
        <v>60</v>
      </c>
      <c r="E4" s="7" t="s">
        <v>61</v>
      </c>
      <c r="F4" s="8" t="s">
        <v>62</v>
      </c>
    </row>
    <row r="5" spans="1:6" ht="24" customHeight="1">
      <c r="A5" s="1" t="s">
        <v>5</v>
      </c>
      <c r="B5" s="1" t="s">
        <v>6</v>
      </c>
      <c r="C5" s="1" t="s">
        <v>7</v>
      </c>
      <c r="D5" s="12">
        <f>COUNTIFS(九次实验总表!$B$6:$B$14,1)</f>
        <v>3</v>
      </c>
      <c r="E5" s="12">
        <f>COUNTIFS(九次实验总表!$B$6:$B$14,2)</f>
        <v>3</v>
      </c>
      <c r="F5" s="12">
        <f>COUNTIFS(九次实验总表!$B$6:$B$14,3)</f>
        <v>3</v>
      </c>
    </row>
    <row r="6" spans="1:6" ht="24" customHeight="1">
      <c r="A6" s="16" t="s">
        <v>8</v>
      </c>
      <c r="B6" s="16" t="s">
        <v>9</v>
      </c>
      <c r="C6" s="16" t="s">
        <v>10</v>
      </c>
      <c r="D6" s="11">
        <f>IF(COUNTIFS(九次实验总表!$B$6:$B$14,1,九次实验总表!$C$6:$C$14,"&gt;=0")=D$5,AVERAGEIFS(九次实验总表!$C$6:$C$14,九次实验总表!$B$6:$B$14,1),"待补评")</f>
        <v>5.208333333333333E-3</v>
      </c>
      <c r="E6" s="11">
        <f>IF(COUNTIFS(九次实验总表!$B$6:$B$14,2,九次实验总表!$C$6:$C$14,"&gt;=0")=E$5,AVERAGEIFS(九次实验总表!$C$6:$C$14,九次实验总表!$B$6:$B$14,2),"待补评")</f>
        <v>1.1744281045751634E-2</v>
      </c>
      <c r="F6" s="11">
        <f>IF(COUNTIFS(九次实验总表!$B$6:$B$14,3,九次实验总表!$C$6:$C$14,"&gt;=0")=F$5,AVERAGEIFS(九次实验总表!$C$6:$C$14,九次实验总表!$B$6:$B$14,3),"待补评")</f>
        <v>0</v>
      </c>
    </row>
    <row r="7" spans="1:6" ht="24" customHeight="1">
      <c r="A7" s="1" t="s">
        <v>11</v>
      </c>
      <c r="B7" s="1" t="s">
        <v>12</v>
      </c>
      <c r="C7" s="1" t="s">
        <v>10</v>
      </c>
      <c r="D7" s="10">
        <f>IF(COUNTIFS(九次实验总表!$B$6:$B$14,1,九次实验总表!$D$6:$D$14,"&gt;=0")=D$5,AVERAGEIFS(九次实验总表!$D$6:$D$14,九次实验总表!$B$6:$B$14,1),"待补评")</f>
        <v>0.18771424421322794</v>
      </c>
      <c r="E7" s="10">
        <f>IF(COUNTIFS(九次实验总表!$B$6:$B$14,2,九次实验总表!$D$6:$D$14,"&gt;=0")=E$5,AVERAGEIFS(九次实验总表!$D$6:$D$14,九次实验总表!$B$6:$B$14,2),"待补评")</f>
        <v>0.20526367135088056</v>
      </c>
      <c r="F7" s="10">
        <f>IF(COUNTIFS(九次实验总表!$B$6:$B$14,3,九次实验总表!$D$6:$D$14,"&gt;=0")=F$5,AVERAGEIFS(九次实验总表!$D$6:$D$14,九次实验总表!$B$6:$B$14,3),"待补评")</f>
        <v>0.12646637098174804</v>
      </c>
    </row>
    <row r="8" spans="1:6" ht="24" customHeight="1">
      <c r="A8" s="16" t="s">
        <v>13</v>
      </c>
      <c r="B8" s="16" t="s">
        <v>14</v>
      </c>
      <c r="C8" s="16" t="s">
        <v>10</v>
      </c>
      <c r="D8" s="11">
        <f>IF(COUNTIFS(九次实验总表!$B$6:$B$14,1,九次实验总表!$E$6:$E$14,"&gt;=0")=D$5,AVERAGEIFS(九次实验总表!$E$6:$E$14,九次实验总表!$B$6:$B$14,1),"待补评")</f>
        <v>0.20391418647685869</v>
      </c>
      <c r="E8" s="11">
        <f>IF(COUNTIFS(九次实验总表!$B$6:$B$14,2,九次实验总表!$E$6:$E$14,"&gt;=0")=E$5,AVERAGEIFS(九次实验总表!$E$6:$E$14,九次实验总表!$B$6:$B$14,2),"待补评")</f>
        <v>0.22207719135116269</v>
      </c>
      <c r="F8" s="11">
        <f>IF(COUNTIFS(九次实验总表!$B$6:$B$14,3,九次实验总表!$E$6:$E$14,"&gt;=0")=F$5,AVERAGEIFS(九次实验总表!$E$6:$E$14,九次实验总表!$B$6:$B$14,3),"待补评")</f>
        <v>0.13025349037598424</v>
      </c>
    </row>
    <row r="9" spans="1:6" ht="24" customHeight="1">
      <c r="A9" s="1" t="s">
        <v>15</v>
      </c>
      <c r="B9" s="1" t="s">
        <v>16</v>
      </c>
      <c r="C9" s="1" t="s">
        <v>10</v>
      </c>
      <c r="D9" s="10">
        <f>IF(COUNTIFS(九次实验总表!$B$6:$B$14,1,九次实验总表!$F$6:$F$14,"&gt;=0")=D$5,AVERAGEIFS(九次实验总表!$F$6:$F$14,九次实验总表!$B$6:$B$14,1),"待补评")</f>
        <v>0.15186504378747254</v>
      </c>
      <c r="E9" s="10">
        <f>IF(COUNTIFS(九次实验总表!$B$6:$B$14,2,九次实验总表!$F$6:$F$14,"&gt;=0")=E$5,AVERAGEIFS(九次实验总表!$F$6:$F$14,九次实验总表!$B$6:$B$14,2),"待补评")</f>
        <v>0.1599466835205661</v>
      </c>
      <c r="F9" s="10">
        <f>IF(COUNTIFS(九次实验总表!$B$6:$B$14,3,九次实验总表!$F$6:$F$14,"&gt;=0")=F$5,AVERAGEIFS(九次实验总表!$F$6:$F$14,九次实验总表!$B$6:$B$14,3),"待补评")</f>
        <v>9.1559752381591294E-2</v>
      </c>
    </row>
    <row r="10" spans="1:6" ht="24" customHeight="1">
      <c r="A10" s="16" t="s">
        <v>17</v>
      </c>
      <c r="B10" s="16" t="s">
        <v>18</v>
      </c>
      <c r="C10" s="16" t="s">
        <v>10</v>
      </c>
      <c r="D10" s="11">
        <f>IF(COUNTIFS(九次实验总表!$B$6:$B$14,1,九次实验总表!$G$6:$G$14,"&gt;=0")=D$5,AVERAGEIFS(九次实验总表!$G$6:$G$14,九次实验总表!$B$6:$B$14,1),"待补评")</f>
        <v>0.17526514020837181</v>
      </c>
      <c r="E10" s="11">
        <f>IF(COUNTIFS(九次实验总表!$B$6:$B$14,2,九次实验总表!$G$6:$G$14,"&gt;=0")=E$5,AVERAGEIFS(九次实验总表!$G$6:$G$14,九次实验总表!$B$6:$B$14,2),"待补评")</f>
        <v>0.20483520783178788</v>
      </c>
      <c r="F10" s="11">
        <f>IF(COUNTIFS(九次实验总表!$B$6:$B$14,3,九次实验总表!$G$6:$G$14,"&gt;=0")=F$5,AVERAGEIFS(九次实验总表!$G$6:$G$14,九次实验总表!$B$6:$B$14,3),"待补评")</f>
        <v>0.12061836166158198</v>
      </c>
    </row>
    <row r="11" spans="1:6" ht="24" customHeight="1">
      <c r="A11" s="1" t="s">
        <v>19</v>
      </c>
      <c r="B11" s="1" t="s">
        <v>20</v>
      </c>
      <c r="C11" s="1" t="s">
        <v>10</v>
      </c>
      <c r="D11" s="10">
        <f>IF(COUNTIFS(九次实验总表!$B$6:$B$14,1,九次实验总表!$H$6:$H$14,"&gt;=0")=D$5,AVERAGEIFS(九次实验总表!$H$6:$H$14,九次实验总表!$B$6:$B$14,1),"待补评")</f>
        <v>0.23472226312509181</v>
      </c>
      <c r="E11" s="10">
        <f>IF(COUNTIFS(九次实验总表!$B$6:$B$14,2,九次实验总表!$H$6:$H$14,"&gt;=0")=E$5,AVERAGEIFS(九次实验总表!$H$6:$H$14,九次实验总表!$B$6:$B$14,2),"待补评")</f>
        <v>0.27769876030902901</v>
      </c>
      <c r="F11" s="10">
        <f>IF(COUNTIFS(九次实验总表!$B$6:$B$14,3,九次实验总表!$H$6:$H$14,"&gt;=0")=F$5,AVERAGEIFS(九次实验总表!$H$6:$H$14,九次实验总表!$B$6:$B$14,3),"待补评")</f>
        <v>0.22131533577208151</v>
      </c>
    </row>
    <row r="12" spans="1:6" ht="24" customHeight="1">
      <c r="A12" s="16" t="s">
        <v>21</v>
      </c>
      <c r="B12" s="16" t="s">
        <v>22</v>
      </c>
      <c r="C12" s="16" t="s">
        <v>10</v>
      </c>
      <c r="D12" s="11">
        <f>IF(COUNTIFS(九次实验总表!$B$6:$B$14,1,九次实验总表!$I$6:$I$14,"&gt;=0")=D$5,AVERAGEIFS(九次实验总表!$I$6:$I$14,九次实验总表!$B$6:$B$14,1),"待补评")</f>
        <v>0.14201317207427325</v>
      </c>
      <c r="E12" s="11">
        <f>IF(COUNTIFS(九次实验总表!$B$6:$B$14,2,九次实验总表!$I$6:$I$14,"&gt;=0")=E$5,AVERAGEIFS(九次实验总表!$I$6:$I$14,九次实验总表!$B$6:$B$14,2),"待补评")</f>
        <v>0.16158263497182451</v>
      </c>
      <c r="F12" s="11">
        <f>IF(COUNTIFS(九次实验总表!$B$6:$B$14,3,九次实验总表!$I$6:$I$14,"&gt;=0")=F$5,AVERAGEIFS(九次实验总表!$I$6:$I$14,九次实验总表!$B$6:$B$14,3),"待补评")</f>
        <v>8.7798354269114573E-2</v>
      </c>
    </row>
    <row r="13" spans="1:6" ht="24" customHeight="1">
      <c r="A13" s="1" t="s">
        <v>23</v>
      </c>
      <c r="B13" s="1" t="s">
        <v>24</v>
      </c>
      <c r="C13" s="1" t="s">
        <v>10</v>
      </c>
      <c r="D13" s="10">
        <f>IF(COUNTIFS(九次实验总表!$B$6:$B$14,1,九次实验总表!$J$6:$J$14,"&gt;=0")=D$5,AVERAGEIFS(九次实验总表!$J$6:$J$14,九次实验总表!$B$6:$B$14,1),"待补评")</f>
        <v>0.22493325913920445</v>
      </c>
      <c r="E13" s="10">
        <f>IF(COUNTIFS(九次实验总表!$B$6:$B$14,2,九次实验总表!$J$6:$J$14,"&gt;=0")=E$5,AVERAGEIFS(九次实验总表!$J$6:$J$14,九次实验总表!$B$6:$B$14,2),"待补评")</f>
        <v>0.25749794102702478</v>
      </c>
      <c r="F13" s="10">
        <f>IF(COUNTIFS(九次实验总表!$B$6:$B$14,3,九次实验总表!$J$6:$J$14,"&gt;=0")=F$5,AVERAGEIFS(九次实验总表!$J$6:$J$14,九次实验总表!$B$6:$B$14,3),"待补评")</f>
        <v>0.15693851617035684</v>
      </c>
    </row>
    <row r="14" spans="1:6" ht="24" customHeight="1">
      <c r="A14" s="16" t="s">
        <v>25</v>
      </c>
      <c r="B14" s="16" t="s">
        <v>26</v>
      </c>
      <c r="C14" s="16" t="s">
        <v>10</v>
      </c>
      <c r="D14" s="11">
        <f>IF(COUNTIFS(九次实验总表!$B$6:$B$14,1,九次实验总表!$K$6:$K$14,"&gt;=0")=D$5,AVERAGEIFS(九次实验总表!$K$6:$K$14,九次实验总表!$B$6:$B$14,1),"待补评")</f>
        <v>0.29298313005697557</v>
      </c>
      <c r="E14" s="11">
        <f>IF(COUNTIFS(九次实验总表!$B$6:$B$14,2,九次实验总表!$K$6:$K$14,"&gt;=0")=E$5,AVERAGEIFS(九次实验总表!$K$6:$K$14,九次实验总表!$B$6:$B$14,2),"待补评")</f>
        <v>0.33906193413102459</v>
      </c>
      <c r="F14" s="11">
        <f>IF(COUNTIFS(九次实验总表!$B$6:$B$14,3,九次实验总表!$K$6:$K$14,"&gt;=0")=F$5,AVERAGEIFS(九次实验总表!$K$6:$K$14,九次实验总表!$B$6:$B$14,3),"待补评")</f>
        <v>0.26393587695019777</v>
      </c>
    </row>
    <row r="15" spans="1:6" ht="24" customHeight="1">
      <c r="A15" s="1" t="s">
        <v>27</v>
      </c>
      <c r="B15" s="1" t="s">
        <v>28</v>
      </c>
      <c r="C15" s="1" t="s">
        <v>10</v>
      </c>
      <c r="D15" s="10">
        <f>IF(COUNTIFS(九次实验总表!$B$6:$B$14,1,九次实验总表!$L$6:$L$14,"&gt;=0")=D$5,AVERAGEIFS(九次实验总表!$L$6:$L$14,九次实验总表!$B$6:$B$14,1),"待补评")</f>
        <v>5.3946535954982229E-3</v>
      </c>
      <c r="E15" s="10">
        <f>IF(COUNTIFS(九次实验总表!$B$6:$B$14,2,九次实验总表!$L$6:$L$14,"&gt;=0")=E$5,AVERAGEIFS(九次实验总表!$L$6:$L$14,九次实验总表!$B$6:$B$14,2),"待补评")</f>
        <v>2.9067735252309129E-2</v>
      </c>
      <c r="F15" s="10">
        <f>IF(COUNTIFS(九次实验总表!$B$6:$B$14,3,九次实验总表!$L$6:$L$14,"&gt;=0")=F$5,AVERAGEIFS(九次实验总表!$L$6:$L$14,九次实验总表!$B$6:$B$14,3),"待补评")</f>
        <v>2.9908064924863867E-3</v>
      </c>
    </row>
    <row r="16" spans="1:6" ht="24" customHeight="1">
      <c r="A16" s="16" t="s">
        <v>29</v>
      </c>
      <c r="B16" s="16" t="s">
        <v>30</v>
      </c>
      <c r="C16" s="16" t="s">
        <v>10</v>
      </c>
      <c r="D16" s="11">
        <f>IF(COUNTIFS(九次实验总表!$B$6:$B$14,1,九次实验总表!$M$6:$M$14,"&gt;=0")=D$5,AVERAGEIFS(九次实验总表!$M$6:$M$14,九次实验总表!$B$6:$B$14,1),"待补评")</f>
        <v>0</v>
      </c>
      <c r="E16" s="11">
        <f>IF(COUNTIFS(九次实验总表!$B$6:$B$14,2,九次实验总表!$M$6:$M$14,"&gt;=0")=E$5,AVERAGEIFS(九次实验总表!$M$6:$M$14,九次实验总表!$B$6:$B$14,2),"待补评")</f>
        <v>0</v>
      </c>
      <c r="F16" s="11">
        <f>IF(COUNTIFS(九次实验总表!$B$6:$B$14,3,九次实验总表!$M$6:$M$14,"&gt;=0")=F$5,AVERAGEIFS(九次实验总表!$M$6:$M$14,九次实验总表!$B$6:$B$14,3),"待补评")</f>
        <v>0</v>
      </c>
    </row>
    <row r="17" spans="1:6" ht="24" customHeight="1">
      <c r="A17" s="1" t="s">
        <v>31</v>
      </c>
      <c r="B17" s="1" t="s">
        <v>32</v>
      </c>
      <c r="C17" s="1" t="s">
        <v>10</v>
      </c>
      <c r="D17" s="10">
        <f>IF(COUNTIFS(九次实验总表!$B$6:$B$14,1,九次实验总表!$N$6:$N$14,"&gt;=0")=D$5,AVERAGEIFS(九次实验总表!$N$6:$N$14,九次实验总表!$B$6:$B$14,1),"待补评")</f>
        <v>0</v>
      </c>
      <c r="E17" s="10">
        <f>IF(COUNTIFS(九次实验总表!$B$6:$B$14,2,九次实验总表!$N$6:$N$14,"&gt;=0")=E$5,AVERAGEIFS(九次实验总表!$N$6:$N$14,九次实验总表!$B$6:$B$14,2),"待补评")</f>
        <v>0</v>
      </c>
      <c r="F17" s="10">
        <f>IF(COUNTIFS(九次实验总表!$B$6:$B$14,3,九次实验总表!$N$6:$N$14,"&gt;=0")=F$5,AVERAGEIFS(九次实验总表!$N$6:$N$14,九次实验总表!$B$6:$B$14,3),"待补评")</f>
        <v>0</v>
      </c>
    </row>
    <row r="18" spans="1:6" ht="24" customHeight="1">
      <c r="A18" s="16" t="s">
        <v>33</v>
      </c>
      <c r="B18" s="16" t="s">
        <v>34</v>
      </c>
      <c r="C18" s="16" t="s">
        <v>10</v>
      </c>
      <c r="D18" s="11">
        <f>IF(COUNTIFS(九次实验总表!$B$6:$B$14,1,九次实验总表!$O$6:$O$14,"&gt;=0")=D$5,AVERAGEIFS(九次实验总表!$O$6:$O$14,九次实验总表!$B$6:$B$14,1),"待补评")</f>
        <v>0.34491921768707484</v>
      </c>
      <c r="E18" s="11">
        <f>IF(COUNTIFS(九次实验总表!$B$6:$B$14,2,九次实验总表!$O$6:$O$14,"&gt;=0")=E$5,AVERAGEIFS(九次实验总表!$O$6:$O$14,九次实验总表!$B$6:$B$14,2),"待补评")</f>
        <v>0.24622140522875816</v>
      </c>
      <c r="F18" s="11">
        <f>IF(COUNTIFS(九次实验总表!$B$6:$B$14,3,九次实验总表!$O$6:$O$14,"&gt;=0")=F$5,AVERAGEIFS(九次实验总表!$O$6:$O$14,九次实验总表!$B$6:$B$14,3),"待补评")</f>
        <v>0.4752736928104575</v>
      </c>
    </row>
    <row r="19" spans="1:6" ht="24" customHeight="1">
      <c r="A19" s="1" t="s">
        <v>35</v>
      </c>
      <c r="B19" s="1" t="s">
        <v>36</v>
      </c>
      <c r="C19" s="1" t="s">
        <v>10</v>
      </c>
      <c r="D19" s="10">
        <f>IF(COUNTIFS(九次实验总表!$B$6:$B$14,1,九次实验总表!$P$6:$P$14,"&gt;=0")=D$5,AVERAGEIFS(九次实验总表!$P$6:$P$14,九次实验总表!$B$6:$B$14,1),"待补评")</f>
        <v>0.24479166666666666</v>
      </c>
      <c r="E19" s="10">
        <f>IF(COUNTIFS(九次实验总表!$B$6:$B$14,2,九次实验总表!$P$6:$P$14,"&gt;=0")=E$5,AVERAGEIFS(九次实验总表!$P$6:$P$14,九次实验总表!$B$6:$B$14,2),"待补评")</f>
        <v>0.12632761437908496</v>
      </c>
      <c r="F19" s="10">
        <f>IF(COUNTIFS(九次实验总表!$B$6:$B$14,3,九次实验总表!$P$6:$P$14,"&gt;=0")=F$5,AVERAGEIFS(九次实验总表!$P$6:$P$14,九次实验总表!$B$6:$B$14,3),"待补评")</f>
        <v>0.34160947712418305</v>
      </c>
    </row>
    <row r="20" spans="1:6" ht="24" customHeight="1">
      <c r="A20" s="16" t="s">
        <v>37</v>
      </c>
      <c r="B20" s="16" t="s">
        <v>38</v>
      </c>
      <c r="C20" s="16" t="s">
        <v>39</v>
      </c>
      <c r="D20" s="17">
        <f>IF(COUNTIFS(九次实验总表!$B$6:$B$14,1,九次实验总表!$Q$6:$Q$14,"&gt;=0")=D$5,AVERAGEIFS(九次实验总表!$Q$6:$Q$14,九次实验总表!$B$6:$B$14,1),"待补评")</f>
        <v>68</v>
      </c>
      <c r="E20" s="17">
        <f>IF(COUNTIFS(九次实验总表!$B$6:$B$14,2,九次实验总表!$Q$6:$Q$14,"&gt;=0")=E$5,AVERAGEIFS(九次实验总表!$Q$6:$Q$14,九次实验总表!$B$6:$B$14,2),"待补评")</f>
        <v>68</v>
      </c>
      <c r="F20" s="17">
        <f>IF(COUNTIFS(九次实验总表!$B$6:$B$14,3,九次实验总表!$Q$6:$Q$14,"&gt;=0")=F$5,AVERAGEIFS(九次实验总表!$Q$6:$Q$14,九次实验总表!$B$6:$B$14,3),"待补评")</f>
        <v>66</v>
      </c>
    </row>
    <row r="21" spans="1:6" ht="24" customHeight="1">
      <c r="A21" s="1" t="s">
        <v>40</v>
      </c>
      <c r="B21" s="1" t="s">
        <v>41</v>
      </c>
      <c r="C21" s="1" t="s">
        <v>39</v>
      </c>
      <c r="D21" s="18">
        <f>IF(COUNTIFS(九次实验总表!$B$6:$B$14,1,九次实验总表!$R$6:$R$14,"&gt;=0")=D$5,AVERAGEIFS(九次实验总表!$R$6:$R$14,九次实验总表!$B$6:$B$14,1),"待补评")</f>
        <v>59</v>
      </c>
      <c r="E21" s="18">
        <f>IF(COUNTIFS(九次实验总表!$B$6:$B$14,2,九次实验总表!$R$6:$R$14,"&gt;=0")=E$5,AVERAGEIFS(九次实验总表!$R$6:$R$14,九次实验总表!$B$6:$B$14,2),"待补评")</f>
        <v>59.666666666666664</v>
      </c>
      <c r="F21" s="18">
        <f>IF(COUNTIFS(九次实验总表!$B$6:$B$14,3,九次实验总表!$R$6:$R$14,"&gt;=0")=F$5,AVERAGEIFS(九次实验总表!$R$6:$R$14,九次实验总表!$B$6:$B$14,3),"待补评")</f>
        <v>55</v>
      </c>
    </row>
    <row r="22" spans="1:6" ht="24" customHeight="1">
      <c r="A22" s="16" t="s">
        <v>42</v>
      </c>
      <c r="B22" s="16" t="s">
        <v>43</v>
      </c>
      <c r="C22" s="16" t="s">
        <v>39</v>
      </c>
      <c r="D22" s="17">
        <f>IF(COUNTIFS(九次实验总表!$B$6:$B$14,1,九次实验总表!$S$6:$S$14,"&gt;=0")=D$5,AVERAGEIFS(九次实验总表!$S$6:$S$14,九次实验总表!$B$6:$B$14,1),"待补评")</f>
        <v>9</v>
      </c>
      <c r="E22" s="17">
        <f>IF(COUNTIFS(九次实验总表!$B$6:$B$14,2,九次实验总表!$S$6:$S$14,"&gt;=0")=E$5,AVERAGEIFS(九次实验总表!$S$6:$S$14,九次实验总表!$B$6:$B$14,2),"待补评")</f>
        <v>8.3333333333333339</v>
      </c>
      <c r="F22" s="17">
        <f>IF(COUNTIFS(九次实验总表!$B$6:$B$14,3,九次实验总表!$S$6:$S$14,"&gt;=0")=F$5,AVERAGEIFS(九次实验总表!$S$6:$S$14,九次实验总表!$B$6:$B$14,3),"待补评")</f>
        <v>11</v>
      </c>
    </row>
    <row r="23" spans="1:6" ht="24" customHeight="1">
      <c r="A23" s="1" t="s">
        <v>44</v>
      </c>
      <c r="B23" s="1" t="s">
        <v>45</v>
      </c>
      <c r="C23" s="1" t="s">
        <v>39</v>
      </c>
      <c r="D23" s="18">
        <f>IF(COUNTIFS(九次实验总表!$B$6:$B$14,1,九次实验总表!$T$6:$T$14,"&gt;=0")=D$5,AVERAGEIFS(九次实验总表!$T$6:$T$14,九次实验总表!$B$6:$B$14,1),"待补评")</f>
        <v>0.33333333333333331</v>
      </c>
      <c r="E23" s="18">
        <f>IF(COUNTIFS(九次实验总表!$B$6:$B$14,2,九次实验总表!$T$6:$T$14,"&gt;=0")=E$5,AVERAGEIFS(九次实验总表!$T$6:$T$14,九次实验总表!$B$6:$B$14,2),"待补评")</f>
        <v>0.66666666666666663</v>
      </c>
      <c r="F23" s="18">
        <f>IF(COUNTIFS(九次实验总表!$B$6:$B$14,3,九次实验总表!$T$6:$T$14,"&gt;=0")=F$5,AVERAGEIFS(九次实验总表!$T$6:$T$14,九次实验总表!$B$6:$B$14,3),"待补评")</f>
        <v>0</v>
      </c>
    </row>
    <row r="24" spans="1:6" ht="24" customHeight="1">
      <c r="A24" s="16" t="s">
        <v>46</v>
      </c>
      <c r="B24" s="16" t="s">
        <v>47</v>
      </c>
      <c r="C24" s="16" t="s">
        <v>39</v>
      </c>
      <c r="D24" s="17">
        <f>IF(COUNTIFS(九次实验总表!$B$6:$B$14,1,九次实验总表!$U$6:$U$14,"&gt;=0")=D$5,AVERAGEIFS(九次实验总表!$U$6:$U$14,九次实验总表!$B$6:$B$14,1),"待补评")</f>
        <v>15.666666666666666</v>
      </c>
      <c r="E24" s="17">
        <f>IF(COUNTIFS(九次实验总表!$B$6:$B$14,2,九次实验总表!$U$6:$U$14,"&gt;=0")=E$5,AVERAGEIFS(九次实验总表!$U$6:$U$14,九次实验总表!$B$6:$B$14,2),"待补评")</f>
        <v>8</v>
      </c>
      <c r="F24" s="17">
        <f>IF(COUNTIFS(九次实验总表!$B$6:$B$14,3,九次实验总表!$U$6:$U$14,"&gt;=0")=F$5,AVERAGEIFS(九次实验总表!$U$6:$U$14,九次实验总表!$B$6:$B$14,3),"待补评")</f>
        <v>19.333333333333332</v>
      </c>
    </row>
    <row r="25" spans="1:6" ht="24" customHeight="1">
      <c r="A25" s="1" t="s">
        <v>48</v>
      </c>
      <c r="B25" s="1" t="s">
        <v>49</v>
      </c>
      <c r="C25" s="1" t="s">
        <v>39</v>
      </c>
      <c r="D25" s="18">
        <f>IF(COUNTIFS(九次实验总表!$B$6:$B$14,1,九次实验总表!$V$6:$V$14,"&gt;=0")=D$5,AVERAGEIFS(九次实验总表!$V$6:$V$14,九次实验总表!$B$6:$B$14,1),"待补评")</f>
        <v>6</v>
      </c>
      <c r="E25" s="18">
        <f>IF(COUNTIFS(九次实验总表!$B$6:$B$14,2,九次实验总表!$V$6:$V$14,"&gt;=0")=E$5,AVERAGEIFS(九次实验总表!$V$6:$V$14,九次实验总表!$B$6:$B$14,2),"待补评")</f>
        <v>6.333333333333333</v>
      </c>
      <c r="F25" s="18">
        <f>IF(COUNTIFS(九次实验总表!$B$6:$B$14,3,九次实验总表!$V$6:$V$14,"&gt;=0")=F$5,AVERAGEIFS(九次实验总表!$V$6:$V$14,九次实验总表!$B$6:$B$14,3),"待补评")</f>
        <v>2.6666666666666665</v>
      </c>
    </row>
    <row r="26" spans="1:6" ht="24" customHeight="1">
      <c r="A26" s="16" t="s">
        <v>50</v>
      </c>
      <c r="B26" s="16" t="s">
        <v>51</v>
      </c>
      <c r="C26" s="16" t="s">
        <v>39</v>
      </c>
      <c r="D26" s="17">
        <f>IF(COUNTIFS(九次实验总表!$B$6:$B$14,1,九次实验总表!$W$6:$W$14,"&gt;=0")=D$5,AVERAGEIFS(九次实验总表!$W$6:$W$14,九次实验总表!$B$6:$B$14,1),"待补评")</f>
        <v>4</v>
      </c>
      <c r="E26" s="17">
        <f>IF(COUNTIFS(九次实验总表!$B$6:$B$14,2,九次实验总表!$W$6:$W$14,"&gt;=0")=E$5,AVERAGEIFS(九次实验总表!$W$6:$W$14,九次实验总表!$B$6:$B$14,2),"待补评")</f>
        <v>3.6666666666666665</v>
      </c>
      <c r="F26" s="17">
        <f>IF(COUNTIFS(九次实验总表!$B$6:$B$14,3,九次实验总表!$W$6:$W$14,"&gt;=0")=F$5,AVERAGEIFS(九次实验总表!$W$6:$W$14,九次实验总表!$B$6:$B$14,3),"待补评")</f>
        <v>2.3333333333333335</v>
      </c>
    </row>
    <row r="27" spans="1:6" ht="24" customHeight="1">
      <c r="A27" s="1" t="s">
        <v>52</v>
      </c>
      <c r="B27" s="1" t="s">
        <v>53</v>
      </c>
      <c r="C27" s="1" t="s">
        <v>54</v>
      </c>
      <c r="D27" s="18">
        <f>IF(COUNTIFS(九次实验总表!$B$6:$B$14,1,九次实验总表!$X$6:$X$14,"&gt;=0")=D$5,AVERAGEIFS(九次实验总表!$X$6:$X$14,九次实验总表!$B$6:$B$14,1),"待补评")</f>
        <v>1176.5</v>
      </c>
      <c r="E27" s="18">
        <f>IF(COUNTIFS(九次实验总表!$B$6:$B$14,2,九次实验总表!$X$6:$X$14,"&gt;=0")=E$5,AVERAGEIFS(九次实验总表!$X$6:$X$14,九次实验总表!$B$6:$B$14,2),"待补评")</f>
        <v>1606.1666666666667</v>
      </c>
      <c r="F27" s="18">
        <f>IF(COUNTIFS(九次实验总表!$B$6:$B$14,3,九次实验总表!$X$6:$X$14,"&gt;=0")=F$5,AVERAGEIFS(九次实验总表!$X$6:$X$14,九次实验总表!$B$6:$B$14,3),"待补评")</f>
        <v>408.5</v>
      </c>
    </row>
    <row r="28" spans="1:6" ht="24" customHeight="1">
      <c r="A28" s="1"/>
      <c r="B28" s="1"/>
      <c r="C28" s="1"/>
      <c r="D28" s="1"/>
      <c r="E28" s="1"/>
      <c r="F28" s="1"/>
    </row>
  </sheetData>
  <phoneticPr fontId="6" type="noConversion"/>
  <conditionalFormatting sqref="D6:F27">
    <cfRule type="containsText" dxfId="1" priority="1" operator="containsText" text="待补评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29AB1"/>
  </sheetPr>
  <dimension ref="A1:X16"/>
  <sheetViews>
    <sheetView showGridLines="0" workbookViewId="0">
      <pane xSplit="2" ySplit="5" topLeftCell="C13" activePane="bottomRight" state="frozen"/>
      <selection pane="topRight"/>
      <selection pane="bottomLeft"/>
      <selection pane="bottomRight" activeCell="A17" sqref="A17:XFD31"/>
    </sheetView>
  </sheetViews>
  <sheetFormatPr baseColWidth="10" defaultColWidth="8.83203125" defaultRowHeight="14"/>
  <cols>
    <col min="1" max="2" width="15" customWidth="1"/>
    <col min="3" max="24" width="20" customWidth="1"/>
  </cols>
  <sheetData>
    <row r="1" spans="1:24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" customHeight="1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4" customHeight="1">
      <c r="A3" s="4" t="s">
        <v>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54" customHeight="1">
      <c r="A5" s="6" t="s">
        <v>65</v>
      </c>
      <c r="B5" s="7" t="s">
        <v>66</v>
      </c>
      <c r="C5" s="7" t="s">
        <v>8</v>
      </c>
      <c r="D5" s="7" t="s">
        <v>11</v>
      </c>
      <c r="E5" s="7" t="s">
        <v>13</v>
      </c>
      <c r="F5" s="7" t="s">
        <v>15</v>
      </c>
      <c r="G5" s="7" t="s">
        <v>17</v>
      </c>
      <c r="H5" s="7" t="s">
        <v>19</v>
      </c>
      <c r="I5" s="7" t="s">
        <v>21</v>
      </c>
      <c r="J5" s="7" t="s">
        <v>23</v>
      </c>
      <c r="K5" s="7" t="s">
        <v>25</v>
      </c>
      <c r="L5" s="7" t="s">
        <v>27</v>
      </c>
      <c r="M5" s="7" t="s">
        <v>29</v>
      </c>
      <c r="N5" s="7" t="s">
        <v>31</v>
      </c>
      <c r="O5" s="7" t="s">
        <v>33</v>
      </c>
      <c r="P5" s="7" t="s">
        <v>35</v>
      </c>
      <c r="Q5" s="7" t="s">
        <v>37</v>
      </c>
      <c r="R5" s="7" t="s">
        <v>40</v>
      </c>
      <c r="S5" s="7" t="s">
        <v>42</v>
      </c>
      <c r="T5" s="7" t="s">
        <v>44</v>
      </c>
      <c r="U5" s="7" t="s">
        <v>46</v>
      </c>
      <c r="V5" s="7" t="s">
        <v>48</v>
      </c>
      <c r="W5" s="7" t="s">
        <v>50</v>
      </c>
      <c r="X5" s="8" t="s">
        <v>52</v>
      </c>
    </row>
    <row r="6" spans="1:24" ht="24" customHeight="1">
      <c r="A6" s="5">
        <v>0</v>
      </c>
      <c r="B6" s="5">
        <v>1</v>
      </c>
      <c r="C6" s="10">
        <v>0</v>
      </c>
      <c r="D6" s="10">
        <v>7.1881405242536778E-2</v>
      </c>
      <c r="E6" s="10">
        <v>9.2609700362084213E-2</v>
      </c>
      <c r="F6" s="10">
        <v>4.385765380507578E-2</v>
      </c>
      <c r="G6" s="10">
        <v>6.8292205784077201E-2</v>
      </c>
      <c r="H6" s="10">
        <v>9.5644928735053772E-2</v>
      </c>
      <c r="I6" s="10">
        <v>4.1677461023204652E-2</v>
      </c>
      <c r="J6" s="10">
        <v>0.10733634997148757</v>
      </c>
      <c r="K6" s="10">
        <v>0.14521970370781578</v>
      </c>
      <c r="L6" s="10">
        <v>5.0691218160421463E-5</v>
      </c>
      <c r="M6" s="10">
        <v>0</v>
      </c>
      <c r="N6" s="10">
        <v>0</v>
      </c>
      <c r="O6" s="10">
        <v>0.5</v>
      </c>
      <c r="P6" s="10">
        <f t="shared" ref="P6:P14" si="0">IF(ISNUMBER(U6),U6/R6,"待补评")</f>
        <v>0.421875</v>
      </c>
      <c r="Q6" s="12">
        <v>70</v>
      </c>
      <c r="R6" s="12">
        <v>64</v>
      </c>
      <c r="S6" s="12">
        <v>6</v>
      </c>
      <c r="T6" s="12">
        <v>0</v>
      </c>
      <c r="U6" s="12">
        <v>27</v>
      </c>
      <c r="V6" s="12">
        <v>0</v>
      </c>
      <c r="W6" s="12">
        <v>0</v>
      </c>
      <c r="X6" s="14">
        <v>452.5</v>
      </c>
    </row>
    <row r="7" spans="1:24" ht="24" customHeight="1">
      <c r="A7" s="9">
        <v>0</v>
      </c>
      <c r="B7" s="9">
        <v>2</v>
      </c>
      <c r="C7" s="11">
        <v>0</v>
      </c>
      <c r="D7" s="11">
        <v>8.5352367635634543E-2</v>
      </c>
      <c r="E7" s="11">
        <v>0.11019214161826998</v>
      </c>
      <c r="F7" s="11">
        <v>5.0587196274679495E-2</v>
      </c>
      <c r="G7" s="11">
        <v>8.479288160914436E-2</v>
      </c>
      <c r="H7" s="11">
        <v>0.11138436259366918</v>
      </c>
      <c r="I7" s="11">
        <v>5.0338145562862896E-2</v>
      </c>
      <c r="J7" s="11">
        <v>0.12754492504696069</v>
      </c>
      <c r="K7" s="11">
        <v>0.16526054234685567</v>
      </c>
      <c r="L7" s="11">
        <v>7.8851236802140675E-5</v>
      </c>
      <c r="M7" s="11">
        <v>0</v>
      </c>
      <c r="N7" s="11">
        <v>0</v>
      </c>
      <c r="O7" s="11">
        <v>0.40625</v>
      </c>
      <c r="P7" s="11">
        <f t="shared" si="0"/>
        <v>0.34375</v>
      </c>
      <c r="Q7" s="13">
        <v>70</v>
      </c>
      <c r="R7" s="13">
        <v>64</v>
      </c>
      <c r="S7" s="13">
        <v>6</v>
      </c>
      <c r="T7" s="13">
        <v>0</v>
      </c>
      <c r="U7" s="13">
        <v>22</v>
      </c>
      <c r="V7" s="13">
        <v>1</v>
      </c>
      <c r="W7" s="13">
        <v>0</v>
      </c>
      <c r="X7" s="15">
        <v>1113</v>
      </c>
    </row>
    <row r="8" spans="1:24" ht="24" customHeight="1">
      <c r="A8" s="5">
        <v>0</v>
      </c>
      <c r="B8" s="5">
        <v>3</v>
      </c>
      <c r="C8" s="10">
        <v>0</v>
      </c>
      <c r="D8" s="10">
        <v>0.11217697761238997</v>
      </c>
      <c r="E8" s="10">
        <v>0.11169055998379705</v>
      </c>
      <c r="F8" s="10">
        <v>8.3948244159869706E-2</v>
      </c>
      <c r="G8" s="10">
        <v>0.10671924867476303</v>
      </c>
      <c r="H8" s="10">
        <v>0.14622608770672862</v>
      </c>
      <c r="I8" s="10">
        <v>8.0498491100424258E-2</v>
      </c>
      <c r="J8" s="10">
        <v>0.14042014173543094</v>
      </c>
      <c r="K8" s="10">
        <v>0.18359021239370382</v>
      </c>
      <c r="L8" s="10">
        <v>4.6751561226055175E-3</v>
      </c>
      <c r="M8" s="10">
        <v>0</v>
      </c>
      <c r="N8" s="10">
        <v>0</v>
      </c>
      <c r="O8" s="10">
        <v>0.515625</v>
      </c>
      <c r="P8" s="10">
        <f t="shared" si="0"/>
        <v>0.46875</v>
      </c>
      <c r="Q8" s="12">
        <v>70</v>
      </c>
      <c r="R8" s="12">
        <v>64</v>
      </c>
      <c r="S8" s="12">
        <v>6</v>
      </c>
      <c r="T8" s="12">
        <v>0</v>
      </c>
      <c r="U8" s="12">
        <v>30</v>
      </c>
      <c r="V8" s="12">
        <v>3</v>
      </c>
      <c r="W8" s="12">
        <v>3</v>
      </c>
      <c r="X8" s="14">
        <v>22</v>
      </c>
    </row>
    <row r="9" spans="1:24" ht="24" customHeight="1">
      <c r="A9" s="9">
        <v>1</v>
      </c>
      <c r="B9" s="9">
        <v>1</v>
      </c>
      <c r="C9" s="11">
        <v>1.5625E-2</v>
      </c>
      <c r="D9" s="11">
        <v>0.21799483479052362</v>
      </c>
      <c r="E9" s="11">
        <v>0.23313704952406417</v>
      </c>
      <c r="F9" s="11">
        <v>0.19531302779045182</v>
      </c>
      <c r="G9" s="11">
        <v>0.19956437101732893</v>
      </c>
      <c r="H9" s="11">
        <v>0.31441858646417359</v>
      </c>
      <c r="I9" s="11">
        <v>0.17978225360801503</v>
      </c>
      <c r="J9" s="11">
        <v>0.23845099191856861</v>
      </c>
      <c r="K9" s="11">
        <v>0.35946154962192822</v>
      </c>
      <c r="L9" s="11">
        <v>1.5912872026839737E-2</v>
      </c>
      <c r="M9" s="11">
        <v>0</v>
      </c>
      <c r="N9" s="11">
        <v>0</v>
      </c>
      <c r="O9" s="11">
        <v>0.453125</v>
      </c>
      <c r="P9" s="11">
        <f t="shared" si="0"/>
        <v>0.3125</v>
      </c>
      <c r="Q9" s="13">
        <v>70</v>
      </c>
      <c r="R9" s="13">
        <v>64</v>
      </c>
      <c r="S9" s="13">
        <v>6</v>
      </c>
      <c r="T9" s="13">
        <v>1</v>
      </c>
      <c r="U9" s="13">
        <v>20</v>
      </c>
      <c r="V9" s="13">
        <v>11</v>
      </c>
      <c r="W9" s="13">
        <v>7</v>
      </c>
      <c r="X9" s="15">
        <v>1229</v>
      </c>
    </row>
    <row r="10" spans="1:24" ht="24" customHeight="1">
      <c r="A10" s="5">
        <v>1</v>
      </c>
      <c r="B10" s="5">
        <v>2</v>
      </c>
      <c r="C10" s="10">
        <v>1.5625E-2</v>
      </c>
      <c r="D10" s="10">
        <v>0.21688696135111776</v>
      </c>
      <c r="E10" s="10">
        <v>0.23195174106822847</v>
      </c>
      <c r="F10" s="10">
        <v>0.17407116420010893</v>
      </c>
      <c r="G10" s="10">
        <v>0.21446853394243731</v>
      </c>
      <c r="H10" s="10">
        <v>0.35191152176771584</v>
      </c>
      <c r="I10" s="10">
        <v>0.17304319169552182</v>
      </c>
      <c r="J10" s="10">
        <v>0.26706792038858762</v>
      </c>
      <c r="K10" s="10">
        <v>0.41825931216117385</v>
      </c>
      <c r="L10" s="10">
        <v>3.9849367062531817E-2</v>
      </c>
      <c r="M10" s="10">
        <v>0</v>
      </c>
      <c r="N10" s="10">
        <v>0</v>
      </c>
      <c r="O10" s="10">
        <v>0.234375</v>
      </c>
      <c r="P10" s="10">
        <f t="shared" si="0"/>
        <v>1.5625E-2</v>
      </c>
      <c r="Q10" s="12">
        <v>70</v>
      </c>
      <c r="R10" s="12">
        <v>64</v>
      </c>
      <c r="S10" s="12">
        <v>6</v>
      </c>
      <c r="T10" s="12">
        <v>1</v>
      </c>
      <c r="U10" s="12">
        <v>1</v>
      </c>
      <c r="V10" s="12">
        <v>8</v>
      </c>
      <c r="W10" s="12">
        <v>5</v>
      </c>
      <c r="X10" s="14">
        <v>1857.5</v>
      </c>
    </row>
    <row r="11" spans="1:24" ht="24" customHeight="1">
      <c r="A11" s="9">
        <v>1</v>
      </c>
      <c r="B11" s="9">
        <v>3</v>
      </c>
      <c r="C11" s="11">
        <v>0</v>
      </c>
      <c r="D11" s="11">
        <v>0.15185411116097061</v>
      </c>
      <c r="E11" s="11">
        <v>0.1579392430695358</v>
      </c>
      <c r="F11" s="11">
        <v>0.11159905517801641</v>
      </c>
      <c r="G11" s="11">
        <v>0.1454278774845715</v>
      </c>
      <c r="H11" s="11">
        <v>0.3918089753436908</v>
      </c>
      <c r="I11" s="11">
        <v>0.10775530343039</v>
      </c>
      <c r="J11" s="11">
        <v>0.17323401549101072</v>
      </c>
      <c r="K11" s="11">
        <v>0.42892985149758511</v>
      </c>
      <c r="L11" s="11">
        <v>4.2649132879757929E-3</v>
      </c>
      <c r="M11" s="11">
        <v>0</v>
      </c>
      <c r="N11" s="11">
        <v>0</v>
      </c>
      <c r="O11" s="11">
        <v>0.49019607843137253</v>
      </c>
      <c r="P11" s="11">
        <f t="shared" si="0"/>
        <v>0.19607843137254902</v>
      </c>
      <c r="Q11" s="13">
        <v>64</v>
      </c>
      <c r="R11" s="13">
        <v>51</v>
      </c>
      <c r="S11" s="13">
        <v>13</v>
      </c>
      <c r="T11" s="13">
        <v>0</v>
      </c>
      <c r="U11" s="13">
        <v>10</v>
      </c>
      <c r="V11" s="13">
        <v>4</v>
      </c>
      <c r="W11" s="13">
        <v>4</v>
      </c>
      <c r="X11" s="15">
        <v>487</v>
      </c>
    </row>
    <row r="12" spans="1:24" ht="24" customHeight="1">
      <c r="A12" s="5">
        <v>2</v>
      </c>
      <c r="B12" s="5">
        <v>1</v>
      </c>
      <c r="C12" s="10">
        <v>0</v>
      </c>
      <c r="D12" s="10">
        <v>0.27326649260662345</v>
      </c>
      <c r="E12" s="10">
        <v>0.28599580954442771</v>
      </c>
      <c r="F12" s="10">
        <v>0.21642444976688999</v>
      </c>
      <c r="G12" s="10">
        <v>0.25793884382370935</v>
      </c>
      <c r="H12" s="10">
        <v>0.29410327417604809</v>
      </c>
      <c r="I12" s="10">
        <v>0.20457980159160002</v>
      </c>
      <c r="J12" s="10">
        <v>0.3290124355275571</v>
      </c>
      <c r="K12" s="10">
        <v>0.37426813684118271</v>
      </c>
      <c r="L12" s="10">
        <v>2.2039754149450822E-4</v>
      </c>
      <c r="M12" s="10">
        <v>0</v>
      </c>
      <c r="N12" s="10">
        <v>0</v>
      </c>
      <c r="O12" s="10">
        <v>8.1632653061224483E-2</v>
      </c>
      <c r="P12" s="10">
        <f t="shared" si="0"/>
        <v>0</v>
      </c>
      <c r="Q12" s="12">
        <v>64</v>
      </c>
      <c r="R12" s="12">
        <v>49</v>
      </c>
      <c r="S12" s="12">
        <v>15</v>
      </c>
      <c r="T12" s="12">
        <v>0</v>
      </c>
      <c r="U12" s="12">
        <v>0</v>
      </c>
      <c r="V12" s="12">
        <v>7</v>
      </c>
      <c r="W12" s="12">
        <v>5</v>
      </c>
      <c r="X12" s="14">
        <v>1848</v>
      </c>
    </row>
    <row r="13" spans="1:24" ht="24" customHeight="1">
      <c r="A13" s="9">
        <v>2</v>
      </c>
      <c r="B13" s="9">
        <v>2</v>
      </c>
      <c r="C13" s="11">
        <v>1.9607843137254902E-2</v>
      </c>
      <c r="D13" s="11">
        <v>0.31355168506588943</v>
      </c>
      <c r="E13" s="11">
        <v>0.32408769136698973</v>
      </c>
      <c r="F13" s="11">
        <v>0.25518169008690983</v>
      </c>
      <c r="G13" s="11">
        <v>0.31524420794378188</v>
      </c>
      <c r="H13" s="11">
        <v>0.36980039656570191</v>
      </c>
      <c r="I13" s="11">
        <v>0.26136656765708882</v>
      </c>
      <c r="J13" s="11">
        <v>0.37788097764552592</v>
      </c>
      <c r="K13" s="11">
        <v>0.4336659478850442</v>
      </c>
      <c r="L13" s="11">
        <v>4.7274987457593433E-2</v>
      </c>
      <c r="M13" s="11">
        <v>0</v>
      </c>
      <c r="N13" s="11">
        <v>0</v>
      </c>
      <c r="O13" s="11">
        <v>9.8039215686274508E-2</v>
      </c>
      <c r="P13" s="11">
        <f t="shared" si="0"/>
        <v>1.9607843137254902E-2</v>
      </c>
      <c r="Q13" s="13">
        <v>64</v>
      </c>
      <c r="R13" s="13">
        <v>51</v>
      </c>
      <c r="S13" s="13">
        <v>13</v>
      </c>
      <c r="T13" s="13">
        <v>1</v>
      </c>
      <c r="U13" s="13">
        <v>1</v>
      </c>
      <c r="V13" s="13">
        <v>10</v>
      </c>
      <c r="W13" s="13">
        <v>6</v>
      </c>
      <c r="X13" s="15">
        <v>1848</v>
      </c>
    </row>
    <row r="14" spans="1:24" ht="24" customHeight="1">
      <c r="A14" s="5">
        <v>2</v>
      </c>
      <c r="B14" s="5">
        <v>3</v>
      </c>
      <c r="C14" s="10">
        <v>0</v>
      </c>
      <c r="D14" s="10">
        <v>0.11536802417188351</v>
      </c>
      <c r="E14" s="10">
        <v>0.1211306680746199</v>
      </c>
      <c r="F14" s="10">
        <v>7.9131957806887754E-2</v>
      </c>
      <c r="G14" s="10">
        <v>0.10970795882541137</v>
      </c>
      <c r="H14" s="10">
        <v>0.12591094426582519</v>
      </c>
      <c r="I14" s="10">
        <v>7.5141268276529435E-2</v>
      </c>
      <c r="J14" s="10">
        <v>0.15716139128462892</v>
      </c>
      <c r="K14" s="10">
        <v>0.1792875669593044</v>
      </c>
      <c r="L14" s="10">
        <v>3.2350066877848684E-5</v>
      </c>
      <c r="M14" s="10">
        <v>0</v>
      </c>
      <c r="N14" s="10">
        <v>0</v>
      </c>
      <c r="O14" s="10">
        <v>0.42</v>
      </c>
      <c r="P14" s="10">
        <f t="shared" si="0"/>
        <v>0.36</v>
      </c>
      <c r="Q14" s="12">
        <v>64</v>
      </c>
      <c r="R14" s="12">
        <v>50</v>
      </c>
      <c r="S14" s="12">
        <v>14</v>
      </c>
      <c r="T14" s="12">
        <v>0</v>
      </c>
      <c r="U14" s="12">
        <v>18</v>
      </c>
      <c r="V14" s="12">
        <v>1</v>
      </c>
      <c r="W14" s="12">
        <v>0</v>
      </c>
      <c r="X14" s="14">
        <v>716.5</v>
      </c>
    </row>
    <row r="15" spans="1:24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</sheetData>
  <phoneticPr fontId="6" type="noConversion"/>
  <conditionalFormatting sqref="C6:X14">
    <cfRule type="containsText" dxfId="0" priority="1" operator="containsText" text="待补评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总平均</vt:lpstr>
      <vt:lpstr>按sample_seed平均</vt:lpstr>
      <vt:lpstr>按attack_seed平均</vt:lpstr>
      <vt:lpstr>九次实验总表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Yu</cp:lastModifiedBy>
  <dcterms:modified xsi:type="dcterms:W3CDTF">2026-10-08T06:40:17Z</dcterms:modified>
</cp:coreProperties>
</file>